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ehl\Box\OXFAM FRANCE\OFR - Equipe DCPP\0FR - Equipe PIC\Adaptation juste\Communication\082026 Plan d'urgence\Données\"/>
    </mc:Choice>
  </mc:AlternateContent>
  <xr:revisionPtr revIDLastSave="0" documentId="13_ncr:1_{42FE65E1-02A1-4B5F-BD82-AB5AC0C66A60}" xr6:coauthVersionLast="47" xr6:coauthVersionMax="47" xr10:uidLastSave="{00000000-0000-0000-0000-000000000000}"/>
  <bookViews>
    <workbookView xWindow="5085" yWindow="2025" windowWidth="21600" windowHeight="11295" activeTab="1" xr2:uid="{00000000-000D-0000-FFFF-FFFF00000000}"/>
  </bookViews>
  <sheets>
    <sheet name="Feuil1" sheetId="1" r:id="rId1"/>
    <sheet name="Observations" sheetId="4" r:id="rId2"/>
    <sheet name="Sourc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3" i="4"/>
  <c r="B9" i="4"/>
  <c r="B8" i="4"/>
  <c r="B11" i="4" s="1"/>
  <c r="B5" i="4"/>
  <c r="B3" i="4"/>
  <c r="B6" i="4" s="1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A0EDA7-7ADD-4631-AB5D-2AC05B152B46}" keepAlive="1" name="Requête - estimates-by-country_FRA_2006_2025" description="Connexion à la requête « estimates-by-country_FRA_2006_2025 » dans le classeur." type="5" refreshedVersion="0" background="1">
    <dbPr connection="Provider=Microsoft.Mashup.OleDb.1;Data Source=$Workbook$;Location=estimates-by-country_FRA_2006_2025;Extended Properties=&quot;&quot;" command="SELECT * FROM [estimates-by-country_FRA_2006_2025]"/>
  </connection>
</connections>
</file>

<file path=xl/sharedStrings.xml><?xml version="1.0" encoding="utf-8"?>
<sst xmlns="http://schemas.openxmlformats.org/spreadsheetml/2006/main" count="13" uniqueCount="13">
  <si>
    <t>https://forest-fire.emergency.copernicus.eu/apps/effis.statistics/estimates</t>
  </si>
  <si>
    <t>Year</t>
  </si>
  <si>
    <t>Burned Area (ha)</t>
  </si>
  <si>
    <t>Number of Fires</t>
  </si>
  <si>
    <t>Surface brûlée en moyenne annuelle sur les dix dernières années</t>
  </si>
  <si>
    <t>Surface brûlée en moyenne annuelle sur les vingt dernières années</t>
  </si>
  <si>
    <t>Evolution annuelle des surfaces brûlées au cours des vingt dernières années en pourcent</t>
  </si>
  <si>
    <t>Moyenne des surfaces brûlées par des feux de forêt sur les dix dernières années par rapport à la moyenne sur les vingt dernières années en France (facteur)</t>
  </si>
  <si>
    <t>Total de la surface brûlée entre 2006 et 2015</t>
  </si>
  <si>
    <t>Augmentation de la surface brûlée sur les dix dernières années par rapport aux dix années précédentes</t>
  </si>
  <si>
    <t>Total de la surface brûlée au cours des dix dernières années (2016 à 2025)</t>
  </si>
  <si>
    <t>Moyenne années 2010</t>
  </si>
  <si>
    <t>Augmentation surface brûlée en 2026 par rapport à la moyenne des années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</si>
</sst>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3"/>
    <xf numFmtId="0" fontId="2" fillId="2" borderId="0" xfId="0" applyFont="1" applyFill="1"/>
    <xf numFmtId="43" fontId="0" fillId="0" borderId="0" xfId="1" applyFont="1"/>
    <xf numFmtId="9" fontId="0" fillId="0" borderId="0" xfId="2" applyFont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orest-fire.emergency.copernicus.eu/apps/effis.statistics/estim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opLeftCell="A4" workbookViewId="0">
      <selection activeCell="B22" sqref="B22"/>
    </sheetView>
  </sheetViews>
  <sheetFormatPr baseColWidth="10" defaultColWidth="9.140625" defaultRowHeight="15" x14ac:dyDescent="0.25"/>
  <cols>
    <col min="1" max="1" width="9.140625" style="2"/>
  </cols>
  <sheetData>
    <row r="1" spans="1:3" s="2" customFormat="1" x14ac:dyDescent="0.25">
      <c r="A1" s="2" t="s">
        <v>1</v>
      </c>
      <c r="B1" s="2" t="s">
        <v>2</v>
      </c>
      <c r="C1" s="2" t="s">
        <v>3</v>
      </c>
    </row>
    <row r="2" spans="1:3" x14ac:dyDescent="0.25">
      <c r="A2" s="2">
        <v>2006</v>
      </c>
      <c r="B2">
        <v>1751</v>
      </c>
      <c r="C2">
        <v>12</v>
      </c>
    </row>
    <row r="3" spans="1:3" x14ac:dyDescent="0.25">
      <c r="A3" s="2">
        <v>2007</v>
      </c>
      <c r="B3">
        <v>2631</v>
      </c>
      <c r="C3">
        <v>12</v>
      </c>
    </row>
    <row r="4" spans="1:3" x14ac:dyDescent="0.25">
      <c r="A4" s="2">
        <v>2008</v>
      </c>
      <c r="B4">
        <v>1694</v>
      </c>
      <c r="C4">
        <v>8</v>
      </c>
    </row>
    <row r="5" spans="1:3" x14ac:dyDescent="0.25">
      <c r="A5" s="2">
        <v>2009</v>
      </c>
      <c r="B5">
        <v>7974</v>
      </c>
      <c r="C5">
        <v>16</v>
      </c>
    </row>
    <row r="6" spans="1:3" x14ac:dyDescent="0.25">
      <c r="A6" s="2">
        <v>2010</v>
      </c>
      <c r="B6">
        <v>4653</v>
      </c>
      <c r="C6">
        <v>9</v>
      </c>
    </row>
    <row r="7" spans="1:3" x14ac:dyDescent="0.25">
      <c r="A7" s="2">
        <v>2011</v>
      </c>
      <c r="B7">
        <v>4831</v>
      </c>
      <c r="C7">
        <v>23</v>
      </c>
    </row>
    <row r="8" spans="1:3" x14ac:dyDescent="0.25">
      <c r="A8" s="2">
        <v>2012</v>
      </c>
      <c r="B8">
        <v>3298</v>
      </c>
      <c r="C8">
        <v>19</v>
      </c>
    </row>
    <row r="9" spans="1:3" x14ac:dyDescent="0.25">
      <c r="A9" s="2">
        <v>2013</v>
      </c>
      <c r="B9">
        <v>891</v>
      </c>
      <c r="C9">
        <v>9</v>
      </c>
    </row>
    <row r="10" spans="1:3" x14ac:dyDescent="0.25">
      <c r="A10" s="2">
        <v>2014</v>
      </c>
      <c r="B10">
        <v>4667</v>
      </c>
      <c r="C10">
        <v>26</v>
      </c>
    </row>
    <row r="11" spans="1:3" x14ac:dyDescent="0.25">
      <c r="A11" s="2">
        <v>2015</v>
      </c>
      <c r="B11">
        <v>2046</v>
      </c>
      <c r="C11">
        <v>15</v>
      </c>
    </row>
    <row r="12" spans="1:3" x14ac:dyDescent="0.25">
      <c r="A12" s="2">
        <v>2016</v>
      </c>
      <c r="B12">
        <v>10767</v>
      </c>
      <c r="C12">
        <v>27</v>
      </c>
    </row>
    <row r="13" spans="1:3" x14ac:dyDescent="0.25">
      <c r="A13" s="2">
        <v>2017</v>
      </c>
      <c r="B13">
        <v>20626</v>
      </c>
      <c r="C13">
        <v>91</v>
      </c>
    </row>
    <row r="14" spans="1:3" x14ac:dyDescent="0.25">
      <c r="A14" s="2">
        <v>2018</v>
      </c>
      <c r="B14">
        <v>2581</v>
      </c>
      <c r="C14">
        <v>21</v>
      </c>
    </row>
    <row r="15" spans="1:3" x14ac:dyDescent="0.25">
      <c r="A15" s="2">
        <v>2019</v>
      </c>
      <c r="B15">
        <v>43602</v>
      </c>
      <c r="C15">
        <v>304</v>
      </c>
    </row>
    <row r="16" spans="1:3" x14ac:dyDescent="0.25">
      <c r="A16" s="2">
        <v>2020</v>
      </c>
      <c r="B16">
        <v>14547</v>
      </c>
      <c r="C16">
        <v>133</v>
      </c>
    </row>
    <row r="17" spans="1:3" x14ac:dyDescent="0.25">
      <c r="A17" s="2">
        <v>2021</v>
      </c>
      <c r="B17">
        <v>30652</v>
      </c>
      <c r="C17">
        <v>214</v>
      </c>
    </row>
    <row r="18" spans="1:3" x14ac:dyDescent="0.25">
      <c r="A18" s="2">
        <v>2022</v>
      </c>
      <c r="B18">
        <v>66337</v>
      </c>
      <c r="C18">
        <v>290</v>
      </c>
    </row>
    <row r="19" spans="1:3" x14ac:dyDescent="0.25">
      <c r="A19" s="2">
        <v>2023</v>
      </c>
      <c r="B19">
        <v>22350</v>
      </c>
      <c r="C19">
        <v>219</v>
      </c>
    </row>
    <row r="20" spans="1:3" x14ac:dyDescent="0.25">
      <c r="A20" s="2">
        <v>2024</v>
      </c>
      <c r="B20">
        <v>12268</v>
      </c>
      <c r="C20">
        <v>156</v>
      </c>
    </row>
    <row r="21" spans="1:3" x14ac:dyDescent="0.25">
      <c r="A21" s="2">
        <v>2025</v>
      </c>
      <c r="B21">
        <v>36951</v>
      </c>
      <c r="C21">
        <v>257</v>
      </c>
    </row>
    <row r="22" spans="1:3" x14ac:dyDescent="0.25">
      <c r="A22" s="2">
        <v>2026</v>
      </c>
      <c r="B22">
        <v>45927</v>
      </c>
      <c r="C22">
        <v>309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B6B-733C-4293-AF66-DA498DA1B2A6}">
  <dimension ref="A2:B14"/>
  <sheetViews>
    <sheetView tabSelected="1" workbookViewId="0">
      <selection activeCell="B13" sqref="B13"/>
    </sheetView>
  </sheetViews>
  <sheetFormatPr baseColWidth="10" defaultRowHeight="15" x14ac:dyDescent="0.25"/>
  <sheetData>
    <row r="2" spans="1:2" x14ac:dyDescent="0.25">
      <c r="A2" t="s">
        <v>5</v>
      </c>
      <c r="B2" s="3">
        <f>AVERAGE(Feuil1!B2:B22)</f>
        <v>16240.190476190477</v>
      </c>
    </row>
    <row r="3" spans="1:2" x14ac:dyDescent="0.25">
      <c r="A3" t="s">
        <v>4</v>
      </c>
      <c r="B3" s="3">
        <f>AVERAGE(Feuil1!B13:B22)</f>
        <v>29584.1</v>
      </c>
    </row>
    <row r="5" spans="1:2" x14ac:dyDescent="0.25">
      <c r="A5" t="s">
        <v>6</v>
      </c>
      <c r="B5">
        <f>(AVERAGE(Feuil1!B12:B22)-AVERAGE(Feuil1!B2:B11))/AVERAGE(Feuil1!B2:B11)</f>
        <v>7.0942776586869982</v>
      </c>
    </row>
    <row r="6" spans="1:2" x14ac:dyDescent="0.25">
      <c r="A6" t="s">
        <v>7</v>
      </c>
      <c r="B6">
        <f>B3/B2</f>
        <v>1.8216596685471667</v>
      </c>
    </row>
    <row r="8" spans="1:2" x14ac:dyDescent="0.25">
      <c r="A8" t="s">
        <v>8</v>
      </c>
      <c r="B8">
        <f>SUM(Feuil1!B2:B11)</f>
        <v>34436</v>
      </c>
    </row>
    <row r="9" spans="1:2" x14ac:dyDescent="0.25">
      <c r="A9" t="s">
        <v>10</v>
      </c>
      <c r="B9">
        <f>SUM(Feuil1!B12:B21)</f>
        <v>260681</v>
      </c>
    </row>
    <row r="11" spans="1:2" x14ac:dyDescent="0.25">
      <c r="A11" t="s">
        <v>9</v>
      </c>
      <c r="B11" s="4">
        <f>(B9-B8)/B8</f>
        <v>6.57001393890115</v>
      </c>
    </row>
    <row r="13" spans="1:2" x14ac:dyDescent="0.25">
      <c r="A13" t="s">
        <v>11</v>
      </c>
      <c r="B13">
        <f>AVERAGE(Feuil1!B6:B15)</f>
        <v>9796.2000000000007</v>
      </c>
    </row>
    <row r="14" spans="1:2" x14ac:dyDescent="0.25">
      <c r="A14" t="s">
        <v>12</v>
      </c>
      <c r="B14">
        <f>Feuil1!B22/Observations!B13</f>
        <v>4.6882464629141909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DCA4-0D79-49FD-932E-69099A2DBF57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s="1" t="s">
        <v>0</v>
      </c>
    </row>
  </sheetData>
  <hyperlinks>
    <hyperlink ref="A1" r:id="rId1" xr:uid="{B0F0E9AB-9EBF-4E2E-BC04-81B351A585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FBDFB-51EE-430A-AB4B-40B298CF8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Observations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 Ehl</cp:lastModifiedBy>
  <dcterms:created xsi:type="dcterms:W3CDTF">2015-06-05T18:19:34Z</dcterms:created>
  <dcterms:modified xsi:type="dcterms:W3CDTF">2026-07-23T05:14:42Z</dcterms:modified>
</cp:coreProperties>
</file>