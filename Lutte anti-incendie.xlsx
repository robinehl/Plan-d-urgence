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412204143691/WOPIServiceId_TP_BOX_2/WOPIUserId_-/"/>
    </mc:Choice>
  </mc:AlternateContent>
  <xr:revisionPtr revIDLastSave="4" documentId="13_ncr:1_{54A5C5A4-FB25-4482-A33B-FD1F1E339812}" xr6:coauthVersionLast="47" xr6:coauthVersionMax="47" xr10:uidLastSave="{6BBDFF40-0BC4-4785-B1F3-C22D33E5D807}"/>
  <bookViews>
    <workbookView xWindow="-120" yWindow="-120" windowWidth="29040" windowHeight="15720" xr2:uid="{2ACE3DC6-7CE5-41E3-988D-5D8586782453}"/>
  </bookViews>
  <sheets>
    <sheet name="Données" sheetId="7" r:id="rId1"/>
    <sheet name="Visualisation des données" sheetId="1" r:id="rId2"/>
    <sheet name="Sourc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" i="7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26DA5D-A47B-4A46-8B03-50D940E935A2}" keepAlive="1" name="Requête - estimates-by-country_FRA_2006_2025" description="Connexion à la requête « estimates-by-country_FRA_2006_2025 » dans le classeur." type="5" refreshedVersion="0" background="1" saveData="1">
    <dbPr connection="Provider=Microsoft.Mashup.OleDb.1;Data Source=$Workbook$;Location=estimates-by-country_FRA_2006_2025;Extended Properties=&quot;&quot;" command="SELECT * FROM [estimates-by-country_FRA_2006_2025]"/>
  </connection>
  <connection id="2" xr16:uid="{28A33F18-9EDA-448C-962A-C07954675A6E}" keepAlive="1" name="Requête - interventions2024" description="Connexion à la requête « interventions2024 » dans le classeur." type="5" refreshedVersion="0" background="1" saveData="1">
    <dbPr connection="Provider=Microsoft.Mashup.OleDb.1;Data Source=$Workbook$;Location=interventions2024;Extended Properties=&quot;&quot;" command="SELECT * FROM [interventions2024]"/>
  </connection>
</connections>
</file>

<file path=xl/sharedStrings.xml><?xml version="1.0" encoding="utf-8"?>
<sst xmlns="http://schemas.openxmlformats.org/spreadsheetml/2006/main" count="44" uniqueCount="41">
  <si>
    <t>Interventions réalisées par les services d'incendie et de secours</t>
  </si>
  <si>
    <t>https://www.data.gouv.fr/datasets/interventions-realisees-par-les-services-d-incendie-et-de-secours</t>
  </si>
  <si>
    <t>Interventions réalisées pour la lutte anti-incendie</t>
  </si>
  <si>
    <t>Camions citerne feu de forêt</t>
  </si>
  <si>
    <t>https://www.interieur.gouv.fr/sites/minint/files/medias/documents/2025-12/2025-12-Statistiques-SDIS25.pdf</t>
  </si>
  <si>
    <t>https://www.interieur.gouv.fr/documentation/etudes-et-statistiques/statistiques-2023-dgscgc.html</t>
  </si>
  <si>
    <t>https://www.interieur.gouv.fr/documentation/etudes-et-statistiques/statistiques-2022-dgscgc.html</t>
  </si>
  <si>
    <t>Effectifs sapeurs·euses-pompiers·ières</t>
  </si>
  <si>
    <t>https://www.securite-civile.interieur.gouv.fr/actualites/actualites/statistiques-des-services-dincendie-et-de-secours</t>
  </si>
  <si>
    <t>https://www.interieur.gouv.fr/sites/minint/files/medias/documents/2025-09/StatsSDIS22BD.pdf</t>
  </si>
  <si>
    <t>https://www.interieur.gouv.fr/sites/minint/files/medias/documents/2025-09/StatsSDIS21BD.pdf</t>
  </si>
  <si>
    <t>https://www.interieur.gouv.fr/sites/minint/files/medias/documents/2025-09/StatsSDIS20BD%281%29.pdf</t>
  </si>
  <si>
    <t>https://www.interieur.gouv.fr/sites/minint/files/medias/documents/2025-09/StatsSDIS19BD.pdf</t>
  </si>
  <si>
    <t>https://www.interieur.gouv.fr/sites/minint/files/medias/documents/2025-09/plaquette-stats-sdis-2018.pdf</t>
  </si>
  <si>
    <t>https://www.interieur.gouv.fr/content/download/107875/857140/file/StatsSDIS17BD.pdf</t>
  </si>
  <si>
    <t>https://www.interieur.gouv.fr/content/download/99130/778947/file/statistiques%20SDIS%202016.pdf</t>
  </si>
  <si>
    <t>https://www.interieur.gouv.fr/content/download/90819/706317/file/StatsSDIS15BD.pdf</t>
  </si>
  <si>
    <t>https://www.interieur.gouv.fr/content/download/74955/549667/file/Plaquette2014BD.pdf</t>
  </si>
  <si>
    <t>https://www.interieur.gouv.fr/content/download/66618/482460/file/2013-StatsSDIS13BD.pdf</t>
  </si>
  <si>
    <t>https://www.interieur.gouv.fr/content/download/33405/249575/file/stats_sdis_2012_integral.pdf</t>
  </si>
  <si>
    <t>https://www.interieur.gouv.fr/Publications/Statistiques/Securite-civile/2010</t>
  </si>
  <si>
    <t>www.interieur.gouv.fr/Publications/Statistiques/Securite-civile/2009</t>
  </si>
  <si>
    <t>https://www.interieur.gouv.fr/fr/Publications/Statistiques/Securite-civile/2008</t>
  </si>
  <si>
    <t>https://www.interieur.gouv.fr/Publications/Statistiques/Securite-civile/2007</t>
  </si>
  <si>
    <t>https://www.interieur.gouv.fr/Publications/Statistiques/Securite-civile/2006</t>
  </si>
  <si>
    <t>https://www.interieur.gouv.fr/Publications/Statistiques/Securite-civile/2005</t>
  </si>
  <si>
    <t>https://www.interieur.gouv.fr/archives/documentation/statistiques/securite-civile/2004.html</t>
  </si>
  <si>
    <t>https://www.interieur.gouv.fr/archives/documentation/statistiques/securite-civile/2003.html</t>
  </si>
  <si>
    <t>https://www.interieur.gouv.fr/sites/minint/files/medias/documents/2025-09/Statistiques_2002.pdf</t>
  </si>
  <si>
    <t>Calculé à partir d'une estimation des effectifs de CCF moyens</t>
  </si>
  <si>
    <t>Surface brûlée</t>
  </si>
  <si>
    <t>https://forest-fire.emergency.copernicus.eu/apps/effis.statistics/estimates</t>
  </si>
  <si>
    <t>Interventions de la Sécurité civile par 100 effectifs</t>
  </si>
  <si>
    <t>Surface brûlée (hectares)</t>
  </si>
  <si>
    <t>Commentaire année</t>
  </si>
  <si>
    <t>Sources camions citernes &amp; effectifs</t>
  </si>
  <si>
    <t>Sources des données</t>
  </si>
  <si>
    <t>Effectifs de la Sécurité civile</t>
  </si>
  <si>
    <t>Camions citernes</t>
  </si>
  <si>
    <t>Source indiquée pour chaque année</t>
  </si>
  <si>
    <t>Interventions par 100 effectifs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</si>
</sst>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2"/>
    <xf numFmtId="0" fontId="2" fillId="2" borderId="0" xfId="0" applyFont="1" applyFill="1"/>
    <xf numFmtId="164" fontId="0" fillId="0" borderId="0" xfId="1" applyNumberFormat="1" applyFon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2" applyAlignment="1">
      <alignment horizontal="left"/>
    </xf>
    <xf numFmtId="0" fontId="4" fillId="0" borderId="0" xfId="0" applyFont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545454"/>
      <color rgb="FFFBC43A"/>
      <color rgb="FFBECE45"/>
      <color rgb="FF44841A"/>
      <color rgb="FFEAEADE"/>
      <color rgb="FF336114"/>
      <color rgb="FF630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336114"/>
                </a:solidFill>
                <a:latin typeface="+mn-lt"/>
                <a:ea typeface="+mn-ea"/>
                <a:cs typeface="+mn-cs"/>
              </a:defRPr>
            </a:pPr>
            <a:r>
              <a:rPr lang="fr-FR" sz="1800">
                <a:solidFill>
                  <a:srgbClr val="336114"/>
                </a:solidFill>
                <a:latin typeface="Oxfam TSTAR PRO Headline" panose="02000806030000020004" pitchFamily="50" charset="0"/>
              </a:rPr>
              <a:t>moyens de la Sécurité civile et bilan </a:t>
            </a:r>
            <a:r>
              <a:rPr lang="fr-FR" sz="1800" baseline="0">
                <a:solidFill>
                  <a:srgbClr val="336114"/>
                </a:solidFill>
                <a:latin typeface="Oxfam TSTAR PRO Headline" panose="02000806030000020004" pitchFamily="50" charset="0"/>
              </a:rPr>
              <a:t>des incendies</a:t>
            </a:r>
            <a:endParaRPr lang="fr-FR" sz="1800">
              <a:solidFill>
                <a:srgbClr val="336114"/>
              </a:solidFill>
              <a:latin typeface="Oxfam TSTAR PRO Headline" panose="02000806030000020004" pitchFamily="50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336114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'Visualisation des données'!$B$1</c:f>
              <c:strCache>
                <c:ptCount val="1"/>
                <c:pt idx="0">
                  <c:v>Surface brûlée (hectares)</c:v>
                </c:pt>
              </c:strCache>
            </c:strRef>
          </c:tx>
          <c:spPr>
            <a:solidFill>
              <a:srgbClr val="FBC43A"/>
            </a:solidFill>
            <a:ln w="38100">
              <a:noFill/>
            </a:ln>
            <a:effectLst/>
          </c:spPr>
          <c:invertIfNegative val="0"/>
          <c:dPt>
            <c:idx val="18"/>
            <c:invertIfNegative val="0"/>
            <c:bubble3D val="0"/>
            <c:spPr>
              <a:pattFill prst="pct80">
                <a:fgClr>
                  <a:srgbClr val="FBC43A"/>
                </a:fgClr>
                <a:bgClr>
                  <a:schemeClr val="bg1"/>
                </a:bgClr>
              </a:patt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DCD-4083-A520-D78756BDFE2A}"/>
              </c:ext>
            </c:extLst>
          </c:dPt>
          <c:cat>
            <c:numRef>
              <c:f>'Visualisation des données'!$A$2:$A$20</c:f>
              <c:numCache>
                <c:formatCode>General</c:formatCod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numCache>
            </c:numRef>
          </c:cat>
          <c:val>
            <c:numRef>
              <c:f>'Visualisation des données'!$B$2:$B$20</c:f>
              <c:numCache>
                <c:formatCode>_-* #\ ##0_-;\-* #\ ##0_-;_-* "-"??_-;_-@_-</c:formatCode>
                <c:ptCount val="19"/>
                <c:pt idx="0">
                  <c:v>1694</c:v>
                </c:pt>
                <c:pt idx="1">
                  <c:v>7974</c:v>
                </c:pt>
                <c:pt idx="2">
                  <c:v>4653</c:v>
                </c:pt>
                <c:pt idx="3">
                  <c:v>4831</c:v>
                </c:pt>
                <c:pt idx="4">
                  <c:v>3298</c:v>
                </c:pt>
                <c:pt idx="5">
                  <c:v>891</c:v>
                </c:pt>
                <c:pt idx="6">
                  <c:v>4667</c:v>
                </c:pt>
                <c:pt idx="7">
                  <c:v>2046</c:v>
                </c:pt>
                <c:pt idx="8">
                  <c:v>10767</c:v>
                </c:pt>
                <c:pt idx="9">
                  <c:v>20626</c:v>
                </c:pt>
                <c:pt idx="10">
                  <c:v>2581</c:v>
                </c:pt>
                <c:pt idx="11">
                  <c:v>43602</c:v>
                </c:pt>
                <c:pt idx="12">
                  <c:v>14547</c:v>
                </c:pt>
                <c:pt idx="13">
                  <c:v>30652</c:v>
                </c:pt>
                <c:pt idx="14">
                  <c:v>66337</c:v>
                </c:pt>
                <c:pt idx="15">
                  <c:v>22350</c:v>
                </c:pt>
                <c:pt idx="16">
                  <c:v>12268</c:v>
                </c:pt>
                <c:pt idx="17">
                  <c:v>36951</c:v>
                </c:pt>
                <c:pt idx="18">
                  <c:v>92777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D-4083-A520-D78756BDF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0751"/>
        <c:axId val="1834477616"/>
      </c:barChart>
      <c:lineChart>
        <c:grouping val="standard"/>
        <c:varyColors val="0"/>
        <c:ser>
          <c:idx val="1"/>
          <c:order val="1"/>
          <c:tx>
            <c:strRef>
              <c:f>'Visualisation des données'!$C$1</c:f>
              <c:strCache>
                <c:ptCount val="1"/>
                <c:pt idx="0">
                  <c:v>Camions citerne feu de forêt</c:v>
                </c:pt>
              </c:strCache>
            </c:strRef>
          </c:tx>
          <c:spPr>
            <a:ln w="38100" cap="rnd">
              <a:solidFill>
                <a:srgbClr val="44841A"/>
              </a:solidFill>
              <a:round/>
            </a:ln>
            <a:effectLst/>
          </c:spPr>
          <c:marker>
            <c:symbol val="none"/>
          </c:marker>
          <c:cat>
            <c:numRef>
              <c:f>'Visualisation des données'!$A$2:$A$20</c:f>
              <c:numCache>
                <c:formatCode>General</c:formatCod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numCache>
            </c:numRef>
          </c:cat>
          <c:val>
            <c:numRef>
              <c:f>'Visualisation des données'!$C$2:$C$20</c:f>
              <c:numCache>
                <c:formatCode>_-* #\ ##0_-;\-* #\ ##0_-;_-* "-"??_-;_-@_-</c:formatCode>
                <c:ptCount val="19"/>
                <c:pt idx="0">
                  <c:v>4875</c:v>
                </c:pt>
                <c:pt idx="1">
                  <c:v>4508</c:v>
                </c:pt>
                <c:pt idx="2">
                  <c:v>4447</c:v>
                </c:pt>
                <c:pt idx="3">
                  <c:v>4370</c:v>
                </c:pt>
                <c:pt idx="4">
                  <c:v>4288</c:v>
                </c:pt>
                <c:pt idx="5">
                  <c:v>4155</c:v>
                </c:pt>
                <c:pt idx="6">
                  <c:v>4131</c:v>
                </c:pt>
                <c:pt idx="7">
                  <c:v>4097</c:v>
                </c:pt>
                <c:pt idx="8">
                  <c:v>3914</c:v>
                </c:pt>
                <c:pt idx="9">
                  <c:v>3830</c:v>
                </c:pt>
                <c:pt idx="10">
                  <c:v>3788</c:v>
                </c:pt>
                <c:pt idx="11">
                  <c:v>3672</c:v>
                </c:pt>
                <c:pt idx="12">
                  <c:v>3684</c:v>
                </c:pt>
                <c:pt idx="13">
                  <c:v>3777</c:v>
                </c:pt>
                <c:pt idx="14">
                  <c:v>3810</c:v>
                </c:pt>
                <c:pt idx="15">
                  <c:v>3818</c:v>
                </c:pt>
                <c:pt idx="16">
                  <c:v>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D-4083-A520-D78756BDFE2A}"/>
            </c:ext>
          </c:extLst>
        </c:ser>
        <c:ser>
          <c:idx val="2"/>
          <c:order val="2"/>
          <c:tx>
            <c:strRef>
              <c:f>'Visualisation des données'!$D$1</c:f>
              <c:strCache>
                <c:ptCount val="1"/>
                <c:pt idx="0">
                  <c:v>Interventions de la Sécurité civile par 100 effectifs</c:v>
                </c:pt>
              </c:strCache>
            </c:strRef>
          </c:tx>
          <c:spPr>
            <a:ln w="38100" cap="rnd" cmpd="sng">
              <a:solidFill>
                <a:srgbClr val="BECE45"/>
              </a:solidFill>
              <a:round/>
            </a:ln>
            <a:effectLst/>
          </c:spPr>
          <c:marker>
            <c:symbol val="none"/>
          </c:marker>
          <c:cat>
            <c:numRef>
              <c:f>'Visualisation des données'!$A$2:$A$20</c:f>
              <c:numCache>
                <c:formatCode>General</c:formatCod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numCache>
            </c:numRef>
          </c:cat>
          <c:val>
            <c:numRef>
              <c:f>'Visualisation des données'!$D$2:$D$20</c:f>
              <c:numCache>
                <c:formatCode>_-* #\ ##0_-;\-* #\ ##0_-;_-* "-"??_-;_-@_-</c:formatCode>
                <c:ptCount val="19"/>
                <c:pt idx="0">
                  <c:v>1604.720930232558</c:v>
                </c:pt>
                <c:pt idx="1">
                  <c:v>1704.8287204171681</c:v>
                </c:pt>
                <c:pt idx="2">
                  <c:v>1684.0900000000001</c:v>
                </c:pt>
                <c:pt idx="3">
                  <c:v>1708.5155054369714</c:v>
                </c:pt>
                <c:pt idx="4">
                  <c:v>1731.1529698942231</c:v>
                </c:pt>
                <c:pt idx="5">
                  <c:v>1753.9946917109023</c:v>
                </c:pt>
                <c:pt idx="6">
                  <c:v>1739.3394086674768</c:v>
                </c:pt>
                <c:pt idx="7">
                  <c:v>1803.6682867557715</c:v>
                </c:pt>
                <c:pt idx="8">
                  <c:v>1840.5012155591571</c:v>
                </c:pt>
                <c:pt idx="9">
                  <c:v>1875.5951612903225</c:v>
                </c:pt>
                <c:pt idx="10">
                  <c:v>1967.6599919903886</c:v>
                </c:pt>
                <c:pt idx="11">
                  <c:v>1905.5347826086959</c:v>
                </c:pt>
                <c:pt idx="12">
                  <c:v>1703.3342596268362</c:v>
                </c:pt>
                <c:pt idx="13">
                  <c:v>1852.3446774831818</c:v>
                </c:pt>
                <c:pt idx="14">
                  <c:v>1949.9532967032967</c:v>
                </c:pt>
                <c:pt idx="15">
                  <c:v>1861.1111544461778</c:v>
                </c:pt>
                <c:pt idx="16">
                  <c:v>1854.6023660284188</c:v>
                </c:pt>
                <c:pt idx="17">
                  <c:v>1890.6515208338974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CD-4083-A520-D78756BDF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307824"/>
        <c:axId val="1834466096"/>
      </c:lineChart>
      <c:catAx>
        <c:axId val="64230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545454"/>
                </a:solidFill>
                <a:latin typeface="Oxfam TSTAR PRO Light" panose="02000806030000020004" pitchFamily="50" charset="0"/>
                <a:ea typeface="+mn-ea"/>
                <a:cs typeface="+mn-cs"/>
              </a:defRPr>
            </a:pPr>
            <a:endParaRPr lang="fr-FR"/>
          </a:p>
        </c:txPr>
        <c:crossAx val="1834466096"/>
        <c:crosses val="autoZero"/>
        <c:auto val="1"/>
        <c:lblAlgn val="ctr"/>
        <c:lblOffset val="100"/>
        <c:noMultiLvlLbl val="0"/>
      </c:catAx>
      <c:valAx>
        <c:axId val="18344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545454">
                  <a:alpha val="50000"/>
                </a:srgb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45454"/>
                </a:solidFill>
                <a:latin typeface="Oxfam TSTAR PRO Light" panose="02000806030000020004" pitchFamily="50" charset="0"/>
                <a:ea typeface="+mn-ea"/>
                <a:cs typeface="+mn-cs"/>
              </a:defRPr>
            </a:pPr>
            <a:endParaRPr lang="fr-FR"/>
          </a:p>
        </c:txPr>
        <c:crossAx val="642307824"/>
        <c:crosses val="autoZero"/>
        <c:crossBetween val="between"/>
      </c:valAx>
      <c:valAx>
        <c:axId val="18344776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>
                    <a:latin typeface="Oxfam TSTAR PRO Light" panose="02000806030000020004" pitchFamily="50" charset="0"/>
                  </a:rPr>
                  <a:t>Surface brûlée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45454"/>
                </a:solidFill>
                <a:latin typeface="Oxfam TSTAR PRO Light" panose="02000806030000020004" pitchFamily="50" charset="0"/>
                <a:ea typeface="+mn-ea"/>
                <a:cs typeface="+mn-cs"/>
              </a:defRPr>
            </a:pPr>
            <a:endParaRPr lang="fr-FR"/>
          </a:p>
        </c:txPr>
        <c:crossAx val="14250751"/>
        <c:crosses val="max"/>
        <c:crossBetween val="between"/>
      </c:valAx>
      <c:catAx>
        <c:axId val="1425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447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45454"/>
              </a:solidFill>
              <a:latin typeface="Oxfam TSTAR PRO Light" panose="02000806030000020004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AEAD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361949</xdr:colOff>
      <xdr:row>4</xdr:row>
      <xdr:rowOff>161925</xdr:rowOff>
    </xdr:from>
    <xdr:to>
      <xdr:col>13</xdr:col>
      <xdr:colOff>25949</xdr:colOff>
      <xdr:row>35</xdr:row>
      <xdr:rowOff>16425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F982B6-1C00-D4A1-46DE-E2AB8AC3D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terieur.gouv.fr/sites/minint/files/medias/documents/2025-09/StatsSDIS19BD.pdf" TargetMode="External"/><Relationship Id="rId13" Type="http://schemas.openxmlformats.org/officeDocument/2006/relationships/hyperlink" Target="https://www.interieur.gouv.fr/content/download/74955/549667/file/Plaquette2014BD.pdf" TargetMode="External"/><Relationship Id="rId18" Type="http://schemas.openxmlformats.org/officeDocument/2006/relationships/hyperlink" Target="https://www.interieur.gouv.fr/fr/Publications/Statistiques/Securite-civile/2008" TargetMode="External"/><Relationship Id="rId3" Type="http://schemas.openxmlformats.org/officeDocument/2006/relationships/hyperlink" Target="https://www.interieur.gouv.fr/documentation/etudes-et-statistiques/statistiques-2022-dgscgc.html" TargetMode="External"/><Relationship Id="rId21" Type="http://schemas.openxmlformats.org/officeDocument/2006/relationships/hyperlink" Target="https://www.interieur.gouv.fr/Publications/Statistiques/Securite-civile/2005" TargetMode="External"/><Relationship Id="rId7" Type="http://schemas.openxmlformats.org/officeDocument/2006/relationships/hyperlink" Target="https://www.interieur.gouv.fr/sites/minint/files/medias/documents/2025-09/StatsSDIS20BD%281%29.pdf" TargetMode="External"/><Relationship Id="rId12" Type="http://schemas.openxmlformats.org/officeDocument/2006/relationships/hyperlink" Target="https://www.interieur.gouv.fr/content/download/90819/706317/file/StatsSDIS15BD.pdf" TargetMode="External"/><Relationship Id="rId17" Type="http://schemas.openxmlformats.org/officeDocument/2006/relationships/hyperlink" Target="http://www.interieur.gouv.fr/Publications/Statistiques/Securite-civile/2009" TargetMode="External"/><Relationship Id="rId2" Type="http://schemas.openxmlformats.org/officeDocument/2006/relationships/hyperlink" Target="https://www.interieur.gouv.fr/documentation/etudes-et-statistiques/statistiques-2023-dgscgc.html" TargetMode="External"/><Relationship Id="rId16" Type="http://schemas.openxmlformats.org/officeDocument/2006/relationships/hyperlink" Target="https://www.interieur.gouv.fr/Publications/Statistiques/Securite-civile/2010" TargetMode="External"/><Relationship Id="rId20" Type="http://schemas.openxmlformats.org/officeDocument/2006/relationships/hyperlink" Target="https://www.interieur.gouv.fr/Publications/Statistiques/Securite-civile/2006" TargetMode="External"/><Relationship Id="rId1" Type="http://schemas.openxmlformats.org/officeDocument/2006/relationships/hyperlink" Target="https://www.interieur.gouv.fr/sites/minint/files/medias/documents/2025-12/2025-12-Statistiques-SDIS25.pdf" TargetMode="External"/><Relationship Id="rId6" Type="http://schemas.openxmlformats.org/officeDocument/2006/relationships/hyperlink" Target="https://www.interieur.gouv.fr/sites/minint/files/medias/documents/2025-09/StatsSDIS21BD.pdf" TargetMode="External"/><Relationship Id="rId11" Type="http://schemas.openxmlformats.org/officeDocument/2006/relationships/hyperlink" Target="https://www.interieur.gouv.fr/content/download/99130/778947/file/statistiques%20SDIS%202016.pdf" TargetMode="External"/><Relationship Id="rId24" Type="http://schemas.openxmlformats.org/officeDocument/2006/relationships/hyperlink" Target="https://www.interieur.gouv.fr/sites/minint/files/medias/documents/2025-09/Statistiques_2002.pdf" TargetMode="External"/><Relationship Id="rId5" Type="http://schemas.openxmlformats.org/officeDocument/2006/relationships/hyperlink" Target="https://www.interieur.gouv.fr/sites/minint/files/medias/documents/2025-09/StatsSDIS22BD.pdf" TargetMode="External"/><Relationship Id="rId15" Type="http://schemas.openxmlformats.org/officeDocument/2006/relationships/hyperlink" Target="https://www.interieur.gouv.fr/content/download/33405/249575/file/stats_sdis_2012_integral.pdf" TargetMode="External"/><Relationship Id="rId23" Type="http://schemas.openxmlformats.org/officeDocument/2006/relationships/hyperlink" Target="https://www.interieur.gouv.fr/archives/documentation/statistiques/securite-civile/2003.html" TargetMode="External"/><Relationship Id="rId10" Type="http://schemas.openxmlformats.org/officeDocument/2006/relationships/hyperlink" Target="https://www.interieur.gouv.fr/content/download/107875/857140/file/StatsSDIS17BD.pdf" TargetMode="External"/><Relationship Id="rId19" Type="http://schemas.openxmlformats.org/officeDocument/2006/relationships/hyperlink" Target="https://www.interieur.gouv.fr/Publications/Statistiques/Securite-civile/2007" TargetMode="External"/><Relationship Id="rId4" Type="http://schemas.openxmlformats.org/officeDocument/2006/relationships/hyperlink" Target="https://www.securite-civile.interieur.gouv.fr/actualites/actualites/statistiques-des-services-dincendie-et-de-secours" TargetMode="External"/><Relationship Id="rId9" Type="http://schemas.openxmlformats.org/officeDocument/2006/relationships/hyperlink" Target="https://www.interieur.gouv.fr/sites/minint/files/medias/documents/2025-09/plaquette-stats-sdis-2018.pdf" TargetMode="External"/><Relationship Id="rId14" Type="http://schemas.openxmlformats.org/officeDocument/2006/relationships/hyperlink" Target="https://www.interieur.gouv.fr/content/download/66618/482460/file/2013-StatsSDIS13BD.pdf" TargetMode="External"/><Relationship Id="rId22" Type="http://schemas.openxmlformats.org/officeDocument/2006/relationships/hyperlink" Target="https://www.interieur.gouv.fr/archives/documentation/statistiques/securite-civile/2004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forest-fire.emergency.copernicus.eu/apps/effis.statistics/estimates" TargetMode="External"/><Relationship Id="rId1" Type="http://schemas.openxmlformats.org/officeDocument/2006/relationships/hyperlink" Target="https://www.data.gouv.fr/datasets/interventions-realisees-par-les-services-d-incendie-et-de-secou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1A4E-CDD1-4717-A2CE-F51B78E58DF9}">
  <dimension ref="A1:H25"/>
  <sheetViews>
    <sheetView tabSelected="1" workbookViewId="0">
      <pane ySplit="1" topLeftCell="A2" activePane="bottomLeft" state="frozen"/>
      <selection pane="bottomLeft" activeCell="F25" sqref="F25"/>
    </sheetView>
  </sheetViews>
  <sheetFormatPr baseColWidth="10" defaultRowHeight="15" x14ac:dyDescent="0.25"/>
  <cols>
    <col min="1" max="1" width="11.42578125" style="2"/>
    <col min="2" max="8" width="20.7109375" style="5" customWidth="1"/>
    <col min="9" max="16384" width="11.42578125" style="5"/>
  </cols>
  <sheetData>
    <row r="1" spans="1:8" s="9" customFormat="1" ht="60" x14ac:dyDescent="0.25">
      <c r="A1" s="8"/>
      <c r="B1" s="9" t="s">
        <v>0</v>
      </c>
      <c r="C1" s="9" t="s">
        <v>2</v>
      </c>
      <c r="D1" s="9" t="s">
        <v>3</v>
      </c>
      <c r="E1" s="9" t="s">
        <v>7</v>
      </c>
      <c r="F1" s="9" t="s">
        <v>40</v>
      </c>
      <c r="G1" s="9" t="s">
        <v>35</v>
      </c>
      <c r="H1" s="9" t="s">
        <v>34</v>
      </c>
    </row>
    <row r="2" spans="1:8" x14ac:dyDescent="0.25">
      <c r="A2" s="2">
        <v>2002</v>
      </c>
      <c r="B2" s="4">
        <v>3612340</v>
      </c>
      <c r="C2" s="5">
        <v>323241</v>
      </c>
      <c r="D2" s="5">
        <v>5117</v>
      </c>
      <c r="E2" s="4">
        <v>246111</v>
      </c>
      <c r="F2" s="4">
        <f>B2/E2*100</f>
        <v>1467.7686084734123</v>
      </c>
      <c r="G2" s="6" t="s">
        <v>28</v>
      </c>
    </row>
    <row r="3" spans="1:8" x14ac:dyDescent="0.25">
      <c r="A3" s="2">
        <v>2003</v>
      </c>
      <c r="B3" s="5">
        <v>3727493</v>
      </c>
      <c r="C3" s="5">
        <v>394707</v>
      </c>
      <c r="D3" s="5">
        <v>5183</v>
      </c>
      <c r="E3" s="4">
        <v>250584</v>
      </c>
      <c r="F3" s="4">
        <f t="shared" ref="F3:F25" si="0">B3/E3*100</f>
        <v>1487.5223477955496</v>
      </c>
      <c r="G3" s="6" t="s">
        <v>27</v>
      </c>
    </row>
    <row r="4" spans="1:8" x14ac:dyDescent="0.25">
      <c r="A4" s="2">
        <v>2004</v>
      </c>
      <c r="B4" s="5">
        <v>3559495</v>
      </c>
      <c r="C4" s="5">
        <v>334421</v>
      </c>
      <c r="D4" s="4">
        <v>5189</v>
      </c>
      <c r="E4" s="4">
        <v>256229</v>
      </c>
      <c r="F4" s="4">
        <f t="shared" si="0"/>
        <v>1389.1850649223936</v>
      </c>
      <c r="G4" s="6" t="s">
        <v>26</v>
      </c>
    </row>
    <row r="5" spans="1:8" x14ac:dyDescent="0.25">
      <c r="A5" s="2">
        <v>2005</v>
      </c>
      <c r="B5" s="4">
        <v>3608700</v>
      </c>
      <c r="C5" s="5">
        <v>376600</v>
      </c>
      <c r="E5" s="4">
        <v>254000</v>
      </c>
      <c r="F5" s="4">
        <f t="shared" si="0"/>
        <v>1420.748031496063</v>
      </c>
      <c r="G5" s="6" t="s">
        <v>25</v>
      </c>
    </row>
    <row r="6" spans="1:8" x14ac:dyDescent="0.25">
      <c r="A6" s="2">
        <v>2006</v>
      </c>
      <c r="D6" s="5">
        <f>52*(18+22+23+20+13)</f>
        <v>4992</v>
      </c>
      <c r="E6" s="4">
        <v>252400</v>
      </c>
      <c r="F6" s="4">
        <f t="shared" si="0"/>
        <v>0</v>
      </c>
      <c r="G6" s="6" t="s">
        <v>24</v>
      </c>
      <c r="H6" s="5" t="s">
        <v>29</v>
      </c>
    </row>
    <row r="7" spans="1:8" x14ac:dyDescent="0.25">
      <c r="A7" s="2">
        <v>2007</v>
      </c>
      <c r="E7" s="4">
        <v>250400</v>
      </c>
      <c r="F7" s="4">
        <f t="shared" si="0"/>
        <v>0</v>
      </c>
      <c r="G7" s="6" t="s">
        <v>23</v>
      </c>
    </row>
    <row r="8" spans="1:8" x14ac:dyDescent="0.25">
      <c r="A8" s="2">
        <v>2008</v>
      </c>
      <c r="B8" s="5">
        <v>4002174</v>
      </c>
      <c r="C8" s="5">
        <v>309878</v>
      </c>
      <c r="D8" s="4">
        <v>4875</v>
      </c>
      <c r="E8" s="4">
        <v>249400</v>
      </c>
      <c r="F8" s="4">
        <f t="shared" si="0"/>
        <v>1604.720930232558</v>
      </c>
      <c r="G8" s="6" t="s">
        <v>22</v>
      </c>
    </row>
    <row r="9" spans="1:8" x14ac:dyDescent="0.25">
      <c r="A9" s="2">
        <v>2009</v>
      </c>
      <c r="B9" s="5">
        <v>4250138</v>
      </c>
      <c r="C9" s="5">
        <v>343301</v>
      </c>
      <c r="D9" s="4">
        <v>4508</v>
      </c>
      <c r="E9" s="4">
        <v>249300</v>
      </c>
      <c r="F9" s="4">
        <f t="shared" si="0"/>
        <v>1704.8287204171681</v>
      </c>
      <c r="G9" s="6" t="s">
        <v>21</v>
      </c>
    </row>
    <row r="10" spans="1:8" x14ac:dyDescent="0.25">
      <c r="A10" s="2">
        <v>2010</v>
      </c>
      <c r="B10" s="5">
        <v>4210225</v>
      </c>
      <c r="C10" s="5">
        <v>336867</v>
      </c>
      <c r="D10" s="4">
        <v>4447</v>
      </c>
      <c r="E10" s="4">
        <v>250000</v>
      </c>
      <c r="F10" s="4">
        <f t="shared" si="0"/>
        <v>1684.0900000000001</v>
      </c>
      <c r="G10" s="6" t="s">
        <v>20</v>
      </c>
      <c r="H10" s="6"/>
    </row>
    <row r="11" spans="1:8" x14ac:dyDescent="0.25">
      <c r="A11" s="2">
        <v>2011</v>
      </c>
      <c r="B11" s="5">
        <v>4242244</v>
      </c>
      <c r="C11" s="5">
        <v>317909</v>
      </c>
      <c r="D11" s="4">
        <v>4370</v>
      </c>
      <c r="E11" s="4">
        <v>248300</v>
      </c>
      <c r="F11" s="4">
        <f t="shared" si="0"/>
        <v>1708.5155054369714</v>
      </c>
      <c r="G11" s="6" t="s">
        <v>19</v>
      </c>
    </row>
    <row r="12" spans="1:8" x14ac:dyDescent="0.25">
      <c r="A12" s="2">
        <v>2012</v>
      </c>
      <c r="B12" s="5">
        <v>4255174</v>
      </c>
      <c r="C12" s="5">
        <v>306871</v>
      </c>
      <c r="D12" s="4">
        <v>4288</v>
      </c>
      <c r="E12" s="4">
        <v>245800</v>
      </c>
      <c r="F12" s="4">
        <f t="shared" si="0"/>
        <v>1731.1529698942231</v>
      </c>
      <c r="G12" s="6" t="s">
        <v>18</v>
      </c>
    </row>
    <row r="13" spans="1:8" x14ac:dyDescent="0.25">
      <c r="A13" s="2">
        <v>2013</v>
      </c>
      <c r="B13" s="5">
        <v>4295533</v>
      </c>
      <c r="C13" s="4">
        <v>281908</v>
      </c>
      <c r="D13" s="4">
        <v>4155</v>
      </c>
      <c r="E13" s="4">
        <v>244900</v>
      </c>
      <c r="F13" s="4">
        <f t="shared" si="0"/>
        <v>1753.9946917109023</v>
      </c>
      <c r="G13" s="6" t="s">
        <v>17</v>
      </c>
    </row>
    <row r="14" spans="1:8" x14ac:dyDescent="0.25">
      <c r="A14" s="2">
        <v>2014</v>
      </c>
      <c r="B14" s="5">
        <v>4294429</v>
      </c>
      <c r="C14" s="5">
        <v>270870</v>
      </c>
      <c r="D14" s="4">
        <v>4131</v>
      </c>
      <c r="E14" s="4">
        <v>246900</v>
      </c>
      <c r="F14" s="4">
        <f t="shared" si="0"/>
        <v>1739.3394086674768</v>
      </c>
      <c r="G14" s="6" t="s">
        <v>16</v>
      </c>
    </row>
    <row r="15" spans="1:8" x14ac:dyDescent="0.25">
      <c r="A15" s="2">
        <v>2015</v>
      </c>
      <c r="B15" s="5">
        <v>4453257</v>
      </c>
      <c r="C15" s="5">
        <v>300667</v>
      </c>
      <c r="D15" s="4">
        <v>4097</v>
      </c>
      <c r="E15" s="4">
        <v>246900</v>
      </c>
      <c r="F15" s="4">
        <f t="shared" si="0"/>
        <v>1803.6682867557715</v>
      </c>
      <c r="G15" s="6" t="s">
        <v>15</v>
      </c>
    </row>
    <row r="16" spans="1:8" x14ac:dyDescent="0.25">
      <c r="A16" s="2">
        <v>2016</v>
      </c>
      <c r="B16" s="5">
        <v>4542357</v>
      </c>
      <c r="C16" s="5">
        <v>285661</v>
      </c>
      <c r="D16" s="4">
        <v>3914</v>
      </c>
      <c r="E16" s="4">
        <v>246800</v>
      </c>
      <c r="F16" s="4">
        <f t="shared" si="0"/>
        <v>1840.5012155591571</v>
      </c>
      <c r="G16" s="6" t="s">
        <v>14</v>
      </c>
    </row>
    <row r="17" spans="1:7" x14ac:dyDescent="0.25">
      <c r="A17" s="2">
        <v>2017</v>
      </c>
      <c r="B17" s="5">
        <v>4651476</v>
      </c>
      <c r="C17" s="5">
        <v>306625</v>
      </c>
      <c r="D17" s="4">
        <v>3830</v>
      </c>
      <c r="E17" s="4">
        <v>248000</v>
      </c>
      <c r="F17" s="4">
        <f t="shared" si="0"/>
        <v>1875.5951612903225</v>
      </c>
      <c r="G17" s="6" t="s">
        <v>13</v>
      </c>
    </row>
    <row r="18" spans="1:7" x14ac:dyDescent="0.25">
      <c r="A18" s="2">
        <v>2018</v>
      </c>
      <c r="B18" s="5">
        <v>4913247</v>
      </c>
      <c r="C18" s="5">
        <v>304876</v>
      </c>
      <c r="D18" s="4">
        <v>3788</v>
      </c>
      <c r="E18" s="4">
        <v>249700</v>
      </c>
      <c r="F18" s="4">
        <f t="shared" si="0"/>
        <v>1967.6599919903886</v>
      </c>
      <c r="G18" s="6" t="s">
        <v>12</v>
      </c>
    </row>
    <row r="19" spans="1:7" x14ac:dyDescent="0.25">
      <c r="A19" s="2">
        <v>2019</v>
      </c>
      <c r="B19" s="5">
        <v>4821003</v>
      </c>
      <c r="C19" s="5">
        <v>315811</v>
      </c>
      <c r="D19" s="4">
        <v>3672</v>
      </c>
      <c r="E19" s="4">
        <v>253000</v>
      </c>
      <c r="F19" s="4">
        <f t="shared" si="0"/>
        <v>1905.5347826086959</v>
      </c>
      <c r="G19" s="6" t="s">
        <v>11</v>
      </c>
    </row>
    <row r="20" spans="1:7" x14ac:dyDescent="0.25">
      <c r="A20" s="2">
        <v>2020</v>
      </c>
      <c r="B20" s="5">
        <v>4290699</v>
      </c>
      <c r="C20" s="5">
        <v>282765</v>
      </c>
      <c r="D20" s="4">
        <v>3684</v>
      </c>
      <c r="E20" s="4">
        <v>251900</v>
      </c>
      <c r="F20" s="4">
        <f t="shared" si="0"/>
        <v>1703.3342596268362</v>
      </c>
      <c r="G20" s="6" t="s">
        <v>10</v>
      </c>
    </row>
    <row r="21" spans="1:7" x14ac:dyDescent="0.25">
      <c r="A21" s="2">
        <v>2021</v>
      </c>
      <c r="B21" s="5">
        <v>4680875</v>
      </c>
      <c r="C21" s="5">
        <v>254151</v>
      </c>
      <c r="D21" s="4">
        <v>3777</v>
      </c>
      <c r="E21" s="4">
        <v>252700</v>
      </c>
      <c r="F21" s="4">
        <f t="shared" si="0"/>
        <v>1852.3446774831818</v>
      </c>
      <c r="G21" s="6" t="s">
        <v>9</v>
      </c>
    </row>
    <row r="22" spans="1:7" x14ac:dyDescent="0.25">
      <c r="A22" s="2">
        <v>2022</v>
      </c>
      <c r="B22" s="5">
        <v>4968481</v>
      </c>
      <c r="C22" s="5">
        <v>286571</v>
      </c>
      <c r="D22" s="5">
        <v>3810</v>
      </c>
      <c r="E22" s="4">
        <v>254800</v>
      </c>
      <c r="F22" s="4">
        <f t="shared" si="0"/>
        <v>1949.9532967032967</v>
      </c>
      <c r="G22" s="6" t="s">
        <v>6</v>
      </c>
    </row>
    <row r="23" spans="1:7" x14ac:dyDescent="0.25">
      <c r="A23" s="2">
        <v>2023</v>
      </c>
      <c r="B23" s="5">
        <v>4771889</v>
      </c>
      <c r="C23" s="5">
        <v>277138</v>
      </c>
      <c r="D23" s="4">
        <v>3818</v>
      </c>
      <c r="E23" s="4">
        <v>256400</v>
      </c>
      <c r="F23" s="4">
        <f t="shared" si="0"/>
        <v>1861.1111544461778</v>
      </c>
      <c r="G23" s="6" t="s">
        <v>5</v>
      </c>
    </row>
    <row r="24" spans="1:7" x14ac:dyDescent="0.25">
      <c r="A24" s="2">
        <v>2024</v>
      </c>
      <c r="B24" s="5">
        <v>4754811</v>
      </c>
      <c r="C24" s="5">
        <v>220188</v>
      </c>
      <c r="D24" s="4">
        <v>3871</v>
      </c>
      <c r="E24" s="4">
        <v>256379</v>
      </c>
      <c r="F24" s="4">
        <f t="shared" si="0"/>
        <v>1854.6023660284188</v>
      </c>
      <c r="G24" s="6" t="s">
        <v>4</v>
      </c>
    </row>
    <row r="25" spans="1:7" x14ac:dyDescent="0.25">
      <c r="A25" s="2">
        <v>2025</v>
      </c>
      <c r="B25" s="4">
        <v>4890000</v>
      </c>
      <c r="E25" s="4">
        <v>258641</v>
      </c>
      <c r="F25" s="4">
        <f t="shared" si="0"/>
        <v>1890.6515208338974</v>
      </c>
      <c r="G25" s="6" t="s">
        <v>8</v>
      </c>
    </row>
  </sheetData>
  <sortState xmlns:xlrd2="http://schemas.microsoft.com/office/spreadsheetml/2017/richdata2" ref="A2:H26">
    <sortCondition ref="A1:A26"/>
  </sortState>
  <hyperlinks>
    <hyperlink ref="G24" r:id="rId1" xr:uid="{798D1FDF-5842-4A9D-AEE4-B5A05C10D00D}"/>
    <hyperlink ref="G23" r:id="rId2" xr:uid="{5121A625-B484-4B4C-96B7-180F6F6FA3D2}"/>
    <hyperlink ref="G22" r:id="rId3" xr:uid="{569FC209-1F9E-4245-91F3-FF0F7DBDD695}"/>
    <hyperlink ref="G25" r:id="rId4" xr:uid="{E71C8710-5D9D-4145-B283-8767DBBB69EF}"/>
    <hyperlink ref="G21" r:id="rId5" xr:uid="{82CAF4DC-CECD-4E33-84D8-D98B9489BBA4}"/>
    <hyperlink ref="G20" r:id="rId6" xr:uid="{19EBE766-0547-41D0-8135-C6289E5827F4}"/>
    <hyperlink ref="G19" r:id="rId7" xr:uid="{9854BBE7-52E0-4F01-84EC-E7F860278538}"/>
    <hyperlink ref="G18" r:id="rId8" xr:uid="{4850A726-6803-4730-83FA-545D6541733A}"/>
    <hyperlink ref="G17" r:id="rId9" xr:uid="{350386FD-B158-43D4-AE44-1BFB828DFDF8}"/>
    <hyperlink ref="G16" r:id="rId10" xr:uid="{F7B40508-D9E5-462D-BFC5-C83FA18FFD75}"/>
    <hyperlink ref="G15" r:id="rId11" xr:uid="{D87812A7-D06D-4E62-AE6F-A559DC2E00E0}"/>
    <hyperlink ref="G14" r:id="rId12" xr:uid="{5552B65A-0372-4C9D-9F1C-94EE5751C607}"/>
    <hyperlink ref="G13" r:id="rId13" xr:uid="{77B75FDA-72E3-4279-876A-D3F2FB5CA0AC}"/>
    <hyperlink ref="G12" r:id="rId14" xr:uid="{7CEA6EFD-35C9-47DF-95A1-266794C22457}"/>
    <hyperlink ref="G11" r:id="rId15" xr:uid="{08CB2372-8299-4FA6-8B3D-B7CB2A2C4ECF}"/>
    <hyperlink ref="G10" r:id="rId16" xr:uid="{D4175AD6-8820-40EC-91BE-B700E6B6008B}"/>
    <hyperlink ref="G9" r:id="rId17" xr:uid="{7F7C598F-5C93-4195-BD24-618A1B3B2E65}"/>
    <hyperlink ref="G8" r:id="rId18" xr:uid="{8ECBCD35-408E-48B6-8D0C-20C5D7A611E8}"/>
    <hyperlink ref="G7" r:id="rId19" xr:uid="{13468CD3-7579-41CA-A549-C47B9F01F970}"/>
    <hyperlink ref="G6" r:id="rId20" xr:uid="{4C1A6184-894B-4D2B-A122-2458A71BF88E}"/>
    <hyperlink ref="G5" r:id="rId21" xr:uid="{CDBAEEB4-C241-40C6-B900-A95CB105A1D0}"/>
    <hyperlink ref="G4" r:id="rId22" xr:uid="{757A08E5-7263-46C6-B049-ABB5B520CB57}"/>
    <hyperlink ref="G3" r:id="rId23" xr:uid="{C0FC362D-B11C-419B-AF8E-F0B21F03AEDE}"/>
    <hyperlink ref="G2" r:id="rId24" xr:uid="{F7FFF97F-23FF-4ED8-8545-B123BC749D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7D02-44CE-4F03-BF21-E2EDFF30DA98}">
  <dimension ref="A1:E20"/>
  <sheetViews>
    <sheetView zoomScale="98" zoomScaleNormal="98" workbookViewId="0">
      <pane ySplit="1" topLeftCell="A2" activePane="bottomLeft" state="frozen"/>
      <selection pane="bottomLeft" activeCell="C2" sqref="C2"/>
    </sheetView>
  </sheetViews>
  <sheetFormatPr baseColWidth="10" defaultRowHeight="15" x14ac:dyDescent="0.25"/>
  <cols>
    <col min="1" max="1" width="11.42578125" style="2"/>
  </cols>
  <sheetData>
    <row r="1" spans="1:5" s="2" customFormat="1" x14ac:dyDescent="0.25">
      <c r="B1" s="2" t="s">
        <v>33</v>
      </c>
      <c r="C1" s="2" t="s">
        <v>3</v>
      </c>
      <c r="D1" s="2" t="s">
        <v>32</v>
      </c>
    </row>
    <row r="2" spans="1:5" x14ac:dyDescent="0.25">
      <c r="A2" s="2">
        <v>2008</v>
      </c>
      <c r="B2" s="3">
        <v>1694</v>
      </c>
      <c r="C2" s="3">
        <v>4875</v>
      </c>
      <c r="D2" s="3">
        <f>(Données!B8/Données!E8)*100</f>
        <v>1604.720930232558</v>
      </c>
      <c r="E2" s="3"/>
    </row>
    <row r="3" spans="1:5" x14ac:dyDescent="0.25">
      <c r="A3" s="2">
        <v>2009</v>
      </c>
      <c r="B3" s="3">
        <v>7974</v>
      </c>
      <c r="C3" s="3">
        <v>4508</v>
      </c>
      <c r="D3" s="3">
        <f>(Données!B9/Données!E9)*100</f>
        <v>1704.8287204171681</v>
      </c>
      <c r="E3" s="3"/>
    </row>
    <row r="4" spans="1:5" x14ac:dyDescent="0.25">
      <c r="A4" s="2">
        <v>2010</v>
      </c>
      <c r="B4" s="3">
        <v>4653</v>
      </c>
      <c r="C4" s="3">
        <v>4447</v>
      </c>
      <c r="D4" s="3">
        <f>(Données!B10/Données!E10)*100</f>
        <v>1684.0900000000001</v>
      </c>
      <c r="E4" s="3"/>
    </row>
    <row r="5" spans="1:5" x14ac:dyDescent="0.25">
      <c r="A5" s="2">
        <v>2011</v>
      </c>
      <c r="B5" s="3">
        <v>4831</v>
      </c>
      <c r="C5" s="3">
        <v>4370</v>
      </c>
      <c r="D5" s="3">
        <f>(Données!B11/Données!E11)*100</f>
        <v>1708.5155054369714</v>
      </c>
      <c r="E5" s="3"/>
    </row>
    <row r="6" spans="1:5" x14ac:dyDescent="0.25">
      <c r="A6" s="2">
        <v>2012</v>
      </c>
      <c r="B6" s="3">
        <v>3298</v>
      </c>
      <c r="C6" s="3">
        <v>4288</v>
      </c>
      <c r="D6" s="3">
        <f>(Données!B12/Données!E12)*100</f>
        <v>1731.1529698942231</v>
      </c>
      <c r="E6" s="3"/>
    </row>
    <row r="7" spans="1:5" x14ac:dyDescent="0.25">
      <c r="A7" s="2">
        <v>2013</v>
      </c>
      <c r="B7" s="3">
        <v>891</v>
      </c>
      <c r="C7" s="3">
        <v>4155</v>
      </c>
      <c r="D7" s="3">
        <f>(Données!B13/Données!E13)*100</f>
        <v>1753.9946917109023</v>
      </c>
      <c r="E7" s="3"/>
    </row>
    <row r="8" spans="1:5" x14ac:dyDescent="0.25">
      <c r="A8" s="2">
        <v>2014</v>
      </c>
      <c r="B8" s="3">
        <v>4667</v>
      </c>
      <c r="C8" s="3">
        <v>4131</v>
      </c>
      <c r="D8" s="3">
        <f>(Données!B14/Données!E14)*100</f>
        <v>1739.3394086674768</v>
      </c>
      <c r="E8" s="3"/>
    </row>
    <row r="9" spans="1:5" x14ac:dyDescent="0.25">
      <c r="A9" s="2">
        <v>2015</v>
      </c>
      <c r="B9" s="3">
        <v>2046</v>
      </c>
      <c r="C9" s="3">
        <v>4097</v>
      </c>
      <c r="D9" s="3">
        <f>(Données!B15/Données!E15)*100</f>
        <v>1803.6682867557715</v>
      </c>
      <c r="E9" s="3"/>
    </row>
    <row r="10" spans="1:5" x14ac:dyDescent="0.25">
      <c r="A10" s="2">
        <v>2016</v>
      </c>
      <c r="B10" s="3">
        <v>10767</v>
      </c>
      <c r="C10" s="3">
        <v>3914</v>
      </c>
      <c r="D10" s="3">
        <f>(Données!B16/Données!E16)*100</f>
        <v>1840.5012155591571</v>
      </c>
      <c r="E10" s="3"/>
    </row>
    <row r="11" spans="1:5" x14ac:dyDescent="0.25">
      <c r="A11" s="2">
        <v>2017</v>
      </c>
      <c r="B11" s="3">
        <v>20626</v>
      </c>
      <c r="C11" s="3">
        <v>3830</v>
      </c>
      <c r="D11" s="3">
        <f>(Données!B17/Données!E17)*100</f>
        <v>1875.5951612903225</v>
      </c>
      <c r="E11" s="3"/>
    </row>
    <row r="12" spans="1:5" x14ac:dyDescent="0.25">
      <c r="A12" s="2">
        <v>2018</v>
      </c>
      <c r="B12" s="3">
        <v>2581</v>
      </c>
      <c r="C12" s="3">
        <v>3788</v>
      </c>
      <c r="D12" s="3">
        <f>(Données!B18/Données!E18)*100</f>
        <v>1967.6599919903886</v>
      </c>
      <c r="E12" s="3"/>
    </row>
    <row r="13" spans="1:5" x14ac:dyDescent="0.25">
      <c r="A13" s="2">
        <v>2019</v>
      </c>
      <c r="B13" s="3">
        <v>43602</v>
      </c>
      <c r="C13" s="3">
        <v>3672</v>
      </c>
      <c r="D13" s="3">
        <f>(Données!B19/Données!E19)*100</f>
        <v>1905.5347826086959</v>
      </c>
      <c r="E13" s="3"/>
    </row>
    <row r="14" spans="1:5" x14ac:dyDescent="0.25">
      <c r="A14" s="2">
        <v>2020</v>
      </c>
      <c r="B14" s="3">
        <v>14547</v>
      </c>
      <c r="C14" s="3">
        <v>3684</v>
      </c>
      <c r="D14" s="3">
        <f>(Données!B20/Données!E20)*100</f>
        <v>1703.3342596268362</v>
      </c>
      <c r="E14" s="3"/>
    </row>
    <row r="15" spans="1:5" x14ac:dyDescent="0.25">
      <c r="A15" s="2">
        <v>2021</v>
      </c>
      <c r="B15" s="3">
        <v>30652</v>
      </c>
      <c r="C15" s="3">
        <v>3777</v>
      </c>
      <c r="D15" s="3">
        <f>(Données!B21/Données!E21)*100</f>
        <v>1852.3446774831818</v>
      </c>
      <c r="E15" s="3"/>
    </row>
    <row r="16" spans="1:5" x14ac:dyDescent="0.25">
      <c r="A16" s="2">
        <v>2022</v>
      </c>
      <c r="B16" s="3">
        <v>66337</v>
      </c>
      <c r="C16" s="3">
        <v>3810</v>
      </c>
      <c r="D16" s="3">
        <f>(Données!B22/Données!E22)*100</f>
        <v>1949.9532967032967</v>
      </c>
      <c r="E16" s="3"/>
    </row>
    <row r="17" spans="1:5" x14ac:dyDescent="0.25">
      <c r="A17" s="2">
        <v>2023</v>
      </c>
      <c r="B17" s="3">
        <v>22350</v>
      </c>
      <c r="C17" s="3">
        <v>3818</v>
      </c>
      <c r="D17" s="3">
        <f>(Données!B23/Données!E23)*100</f>
        <v>1861.1111544461778</v>
      </c>
      <c r="E17" s="3"/>
    </row>
    <row r="18" spans="1:5" x14ac:dyDescent="0.25">
      <c r="A18" s="2">
        <v>2024</v>
      </c>
      <c r="B18" s="3">
        <v>12268</v>
      </c>
      <c r="C18" s="3">
        <v>3871</v>
      </c>
      <c r="D18" s="3">
        <f>(Données!B24/Données!E24)*100</f>
        <v>1854.6023660284188</v>
      </c>
      <c r="E18" s="3"/>
    </row>
    <row r="19" spans="1:5" x14ac:dyDescent="0.25">
      <c r="A19" s="2">
        <v>2025</v>
      </c>
      <c r="B19" s="3">
        <v>36951</v>
      </c>
      <c r="C19" s="3"/>
      <c r="D19" s="3">
        <f>(Données!B25/Données!E25)*100</f>
        <v>1890.6515208338974</v>
      </c>
      <c r="E19" s="3"/>
    </row>
    <row r="20" spans="1:5" x14ac:dyDescent="0.25">
      <c r="A20" s="2">
        <v>2026</v>
      </c>
      <c r="B20" s="3">
        <v>92777</v>
      </c>
      <c r="C20" s="3"/>
      <c r="D20" s="3"/>
      <c r="E20" s="3"/>
    </row>
  </sheetData>
  <sortState xmlns:xlrd2="http://schemas.microsoft.com/office/spreadsheetml/2017/richdata2" ref="A2:D20">
    <sortCondition ref="A1:A2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8303-07FF-499B-BCAE-F5D6D3955113}">
  <dimension ref="A1:B5"/>
  <sheetViews>
    <sheetView workbookViewId="0">
      <selection activeCell="B4" sqref="B4"/>
    </sheetView>
  </sheetViews>
  <sheetFormatPr baseColWidth="10" defaultRowHeight="15" x14ac:dyDescent="0.25"/>
  <sheetData>
    <row r="1" spans="1:2" s="2" customFormat="1" x14ac:dyDescent="0.25">
      <c r="A1" s="2" t="s">
        <v>36</v>
      </c>
    </row>
    <row r="2" spans="1:2" x14ac:dyDescent="0.25">
      <c r="A2" t="s">
        <v>0</v>
      </c>
      <c r="B2" s="1" t="s">
        <v>1</v>
      </c>
    </row>
    <row r="3" spans="1:2" x14ac:dyDescent="0.25">
      <c r="A3" t="s">
        <v>30</v>
      </c>
      <c r="B3" s="1" t="s">
        <v>31</v>
      </c>
    </row>
    <row r="4" spans="1:2" x14ac:dyDescent="0.25">
      <c r="A4" t="s">
        <v>37</v>
      </c>
      <c r="B4" s="7" t="s">
        <v>39</v>
      </c>
    </row>
    <row r="5" spans="1:2" x14ac:dyDescent="0.25">
      <c r="A5" t="s">
        <v>38</v>
      </c>
      <c r="B5" s="7" t="s">
        <v>39</v>
      </c>
    </row>
  </sheetData>
  <hyperlinks>
    <hyperlink ref="B2" r:id="rId1" xr:uid="{5DB27AE6-A298-4DC2-B7B1-2770CF4453B8}"/>
    <hyperlink ref="B3" r:id="rId2" xr:uid="{5E43746B-6BDE-4D35-98DD-C27A09A9AC0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07FD20-0258-4FEB-8FB5-FC8D9FD56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Visualisation des données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2026-08-03T14:44:30Z</dcterms:created>
  <dcterms:modified xsi:type="dcterms:W3CDTF">2026-08-18T10:34:34Z</dcterms:modified>
</cp:coreProperties>
</file>