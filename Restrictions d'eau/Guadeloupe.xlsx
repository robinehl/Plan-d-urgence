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75953609434/WOPIServiceId_TP_BOX_2/WOPIUserId_-/"/>
    </mc:Choice>
  </mc:AlternateContent>
  <xr:revisionPtr revIDLastSave="87" documentId="11_AD4D9D64A577C15A4A54180E781B5D025BDEDD81" xr6:coauthVersionLast="47" xr6:coauthVersionMax="47" xr10:uidLastSave="{34411701-47B0-4B60-B306-DAE5FC7A86B2}"/>
  <bookViews>
    <workbookView xWindow="-120" yWindow="-120" windowWidth="29040" windowHeight="15720" xr2:uid="{00000000-000D-0000-FFFF-FFFF00000000}"/>
  </bookViews>
  <sheets>
    <sheet name="Analyse" sheetId="5" r:id="rId1"/>
    <sheet name="Guadeloupe 1986-2020 avant août" sheetId="4" r:id="rId2"/>
    <sheet name="Guadeloupe 2026" sheetId="2" r:id="rId3"/>
    <sheet name="Source des données" sheetId="6" r:id="rId4"/>
  </sheets>
  <definedNames>
    <definedName name="_xlnm._FilterDatabase" localSheetId="1" hidden="1">'Guadeloupe 1986-2020 avant août'!$B$1:$B$243</definedName>
    <definedName name="_xlnm._FilterDatabase" localSheetId="2" hidden="1">'Guadeloupe 2026'!$A$1:$A$939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2" i="5"/>
  <c r="B7" i="5" l="1"/>
  <c r="B6" i="5"/>
</calcChain>
</file>

<file path=xl/sharedStrings.xml><?xml version="1.0" encoding="utf-8"?>
<sst xmlns="http://schemas.openxmlformats.org/spreadsheetml/2006/main" count="265" uniqueCount="13">
  <si>
    <t>NOM_USUEL</t>
  </si>
  <si>
    <t>AAAAMM</t>
  </si>
  <si>
    <t>RR</t>
  </si>
  <si>
    <t>STE-ROSE CLUGNY</t>
  </si>
  <si>
    <t>Moyenne de 1986 à 2020 sur les mois de janvier à juillet de chaque année</t>
  </si>
  <si>
    <t>Précipitations à la station Sainte Rose-Clugny (Guadeloupe)</t>
  </si>
  <si>
    <t>https://www.data.gouv.fr/datasets/donnees-climatologiques-de-base-mensuelles</t>
  </si>
  <si>
    <t>Cumul entre janvier et juillet 2026</t>
  </si>
  <si>
    <t>Déviance sur les sept premiers mois de 2026 par rapport à la moyenne des sept premiers mois de chaque année sur la période de 1986 à 2020</t>
  </si>
  <si>
    <t>Déviance relative sur les sept premiers mois de 2026 par rapport à la moyenne des sept premiers mois de chaque année sur la période de 1986 à 2020</t>
  </si>
  <si>
    <t>%</t>
  </si>
  <si>
    <t>Unité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</si>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</sst>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0"/>
      <name val="Oxfam TSTAR PRO Medium"/>
      <family val="3"/>
    </font>
    <font>
      <sz val="11"/>
      <color theme="1"/>
      <name val="Oxfam TSTAR PRO Medium"/>
      <family val="3"/>
    </font>
  </fonts>
  <fills count="3">
    <fill>
      <patternFill patternType="none"/>
    </fill>
    <fill>
      <patternFill patternType="gray125"/>
    </fill>
    <fill>
      <patternFill patternType="solid">
        <fgColor rgb="FF33611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2"/>
    <xf numFmtId="0" fontId="3" fillId="2" borderId="0" xfId="0" applyFont="1" applyFill="1"/>
    <xf numFmtId="0" fontId="4" fillId="0" borderId="0" xfId="0" applyFont="1" applyAlignment="1">
      <alignment wrapText="1"/>
    </xf>
    <xf numFmtId="0" fontId="4" fillId="0" borderId="0" xfId="1" applyNumberFormat="1" applyFont="1" applyAlignment="1">
      <alignment wrapText="1"/>
    </xf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3361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ta.gouv.fr/datasets/donnees-climatologiques-de-base-mensuel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BA28-6848-4DE9-8513-1A53B022A8E9}">
  <dimension ref="A1:C7"/>
  <sheetViews>
    <sheetView tabSelected="1" workbookViewId="0">
      <selection activeCell="A7" sqref="A7"/>
    </sheetView>
  </sheetViews>
  <sheetFormatPr baseColWidth="10" defaultRowHeight="15" x14ac:dyDescent="0.25"/>
  <cols>
    <col min="1" max="1" width="90" customWidth="1"/>
    <col min="2" max="2" width="14.140625" bestFit="1" customWidth="1"/>
  </cols>
  <sheetData>
    <row r="1" spans="1:3" s="2" customFormat="1" ht="15.75" x14ac:dyDescent="0.25">
      <c r="A1" s="2" t="s">
        <v>5</v>
      </c>
      <c r="C1" s="2" t="s">
        <v>11</v>
      </c>
    </row>
    <row r="2" spans="1:3" x14ac:dyDescent="0.25">
      <c r="A2" s="3" t="s">
        <v>4</v>
      </c>
      <c r="B2" s="3">
        <f>(SUM('Guadeloupe 1986-2020 avant août'!C2:C243))/(2020-1986)</f>
        <v>684.08529411764687</v>
      </c>
    </row>
    <row r="3" spans="1:3" x14ac:dyDescent="0.25">
      <c r="A3" s="3"/>
      <c r="B3" s="3"/>
    </row>
    <row r="4" spans="1:3" x14ac:dyDescent="0.25">
      <c r="A4" s="3" t="s">
        <v>7</v>
      </c>
      <c r="B4" s="3">
        <f>SUM('Guadeloupe 2026'!C2:C8)</f>
        <v>391.99999999999994</v>
      </c>
      <c r="C4" t="s">
        <v>12</v>
      </c>
    </row>
    <row r="5" spans="1:3" x14ac:dyDescent="0.25">
      <c r="A5" s="3"/>
      <c r="B5" s="3"/>
    </row>
    <row r="6" spans="1:3" ht="29.25" x14ac:dyDescent="0.25">
      <c r="A6" s="3" t="s">
        <v>8</v>
      </c>
      <c r="B6" s="3">
        <f>B4-B2</f>
        <v>-292.08529411764692</v>
      </c>
      <c r="C6" t="s">
        <v>12</v>
      </c>
    </row>
    <row r="7" spans="1:3" ht="29.25" x14ac:dyDescent="0.25">
      <c r="A7" s="3" t="s">
        <v>9</v>
      </c>
      <c r="B7" s="4">
        <f>(B4-B2)/B2</f>
        <v>-0.42697204081018442</v>
      </c>
      <c r="C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F5E9-5AE6-4EFB-8156-CAC60E83508F}">
  <dimension ref="A1:C243"/>
  <sheetViews>
    <sheetView topLeftCell="A239" workbookViewId="0">
      <selection activeCell="C243" sqref="C24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198601</v>
      </c>
      <c r="C2">
        <v>63.1</v>
      </c>
    </row>
    <row r="3" spans="1:3" x14ac:dyDescent="0.25">
      <c r="A3" t="s">
        <v>3</v>
      </c>
      <c r="B3">
        <v>198602</v>
      </c>
      <c r="C3">
        <v>41.7</v>
      </c>
    </row>
    <row r="4" spans="1:3" x14ac:dyDescent="0.25">
      <c r="A4" t="s">
        <v>3</v>
      </c>
      <c r="B4">
        <v>198603</v>
      </c>
      <c r="C4">
        <v>58</v>
      </c>
    </row>
    <row r="5" spans="1:3" x14ac:dyDescent="0.25">
      <c r="A5" t="s">
        <v>3</v>
      </c>
      <c r="B5">
        <v>198604</v>
      </c>
      <c r="C5">
        <v>191</v>
      </c>
    </row>
    <row r="6" spans="1:3" x14ac:dyDescent="0.25">
      <c r="A6" t="s">
        <v>3</v>
      </c>
      <c r="B6">
        <v>198605</v>
      </c>
      <c r="C6">
        <v>113.7</v>
      </c>
    </row>
    <row r="7" spans="1:3" x14ac:dyDescent="0.25">
      <c r="A7" t="s">
        <v>3</v>
      </c>
      <c r="B7">
        <v>198606</v>
      </c>
      <c r="C7">
        <v>39.799999999999997</v>
      </c>
    </row>
    <row r="8" spans="1:3" x14ac:dyDescent="0.25">
      <c r="A8" t="s">
        <v>3</v>
      </c>
      <c r="B8">
        <v>198607</v>
      </c>
      <c r="C8">
        <v>66.2</v>
      </c>
    </row>
    <row r="9" spans="1:3" x14ac:dyDescent="0.25">
      <c r="A9" t="s">
        <v>3</v>
      </c>
      <c r="B9">
        <v>198701</v>
      </c>
      <c r="C9">
        <v>89.7</v>
      </c>
    </row>
    <row r="10" spans="1:3" x14ac:dyDescent="0.25">
      <c r="A10" t="s">
        <v>3</v>
      </c>
      <c r="B10">
        <v>198702</v>
      </c>
      <c r="C10">
        <v>18.8</v>
      </c>
    </row>
    <row r="11" spans="1:3" x14ac:dyDescent="0.25">
      <c r="A11" t="s">
        <v>3</v>
      </c>
      <c r="B11">
        <v>198703</v>
      </c>
      <c r="C11">
        <v>65.5</v>
      </c>
    </row>
    <row r="12" spans="1:3" x14ac:dyDescent="0.25">
      <c r="A12" t="s">
        <v>3</v>
      </c>
      <c r="B12">
        <v>198704</v>
      </c>
      <c r="C12">
        <v>58.4</v>
      </c>
    </row>
    <row r="13" spans="1:3" x14ac:dyDescent="0.25">
      <c r="A13" t="s">
        <v>3</v>
      </c>
      <c r="B13">
        <v>198705</v>
      </c>
      <c r="C13">
        <v>388.3</v>
      </c>
    </row>
    <row r="14" spans="1:3" x14ac:dyDescent="0.25">
      <c r="A14" t="s">
        <v>3</v>
      </c>
      <c r="B14">
        <v>198706</v>
      </c>
      <c r="C14">
        <v>193.4</v>
      </c>
    </row>
    <row r="15" spans="1:3" x14ac:dyDescent="0.25">
      <c r="A15" t="s">
        <v>3</v>
      </c>
      <c r="B15">
        <v>198707</v>
      </c>
      <c r="C15">
        <v>89.9</v>
      </c>
    </row>
    <row r="16" spans="1:3" x14ac:dyDescent="0.25">
      <c r="A16" t="s">
        <v>3</v>
      </c>
      <c r="B16">
        <v>198801</v>
      </c>
      <c r="C16">
        <v>99.2</v>
      </c>
    </row>
    <row r="17" spans="1:3" x14ac:dyDescent="0.25">
      <c r="A17" t="s">
        <v>3</v>
      </c>
      <c r="B17">
        <v>198802</v>
      </c>
      <c r="C17">
        <v>89.4</v>
      </c>
    </row>
    <row r="18" spans="1:3" x14ac:dyDescent="0.25">
      <c r="A18" t="s">
        <v>3</v>
      </c>
      <c r="B18">
        <v>198803</v>
      </c>
      <c r="C18">
        <v>175.5</v>
      </c>
    </row>
    <row r="19" spans="1:3" x14ac:dyDescent="0.25">
      <c r="A19" t="s">
        <v>3</v>
      </c>
      <c r="B19">
        <v>198804</v>
      </c>
      <c r="C19">
        <v>92.5</v>
      </c>
    </row>
    <row r="20" spans="1:3" x14ac:dyDescent="0.25">
      <c r="A20" t="s">
        <v>3</v>
      </c>
      <c r="B20">
        <v>198805</v>
      </c>
      <c r="C20">
        <v>110.7</v>
      </c>
    </row>
    <row r="21" spans="1:3" x14ac:dyDescent="0.25">
      <c r="A21" t="s">
        <v>3</v>
      </c>
      <c r="B21">
        <v>198806</v>
      </c>
      <c r="C21">
        <v>112.2</v>
      </c>
    </row>
    <row r="22" spans="1:3" x14ac:dyDescent="0.25">
      <c r="A22" t="s">
        <v>3</v>
      </c>
      <c r="B22">
        <v>198807</v>
      </c>
      <c r="C22">
        <v>162</v>
      </c>
    </row>
    <row r="23" spans="1:3" x14ac:dyDescent="0.25">
      <c r="A23" t="s">
        <v>3</v>
      </c>
      <c r="B23">
        <v>198901</v>
      </c>
      <c r="C23">
        <v>65.900000000000006</v>
      </c>
    </row>
    <row r="24" spans="1:3" x14ac:dyDescent="0.25">
      <c r="A24" t="s">
        <v>3</v>
      </c>
      <c r="B24">
        <v>198902</v>
      </c>
      <c r="C24">
        <v>59.4</v>
      </c>
    </row>
    <row r="25" spans="1:3" x14ac:dyDescent="0.25">
      <c r="A25" t="s">
        <v>3</v>
      </c>
      <c r="B25">
        <v>198903</v>
      </c>
      <c r="C25">
        <v>42.4</v>
      </c>
    </row>
    <row r="26" spans="1:3" x14ac:dyDescent="0.25">
      <c r="A26" t="s">
        <v>3</v>
      </c>
      <c r="B26">
        <v>198904</v>
      </c>
      <c r="C26">
        <v>103.6</v>
      </c>
    </row>
    <row r="27" spans="1:3" x14ac:dyDescent="0.25">
      <c r="A27" t="s">
        <v>3</v>
      </c>
      <c r="B27">
        <v>198905</v>
      </c>
      <c r="C27">
        <v>65.3</v>
      </c>
    </row>
    <row r="28" spans="1:3" x14ac:dyDescent="0.25">
      <c r="A28" t="s">
        <v>3</v>
      </c>
      <c r="B28">
        <v>198906</v>
      </c>
      <c r="C28">
        <v>29.5</v>
      </c>
    </row>
    <row r="29" spans="1:3" x14ac:dyDescent="0.25">
      <c r="A29" t="s">
        <v>3</v>
      </c>
      <c r="B29">
        <v>198907</v>
      </c>
      <c r="C29">
        <v>131.30000000000001</v>
      </c>
    </row>
    <row r="30" spans="1:3" x14ac:dyDescent="0.25">
      <c r="A30" t="s">
        <v>3</v>
      </c>
      <c r="B30">
        <v>199001</v>
      </c>
      <c r="C30">
        <v>56.5</v>
      </c>
    </row>
    <row r="31" spans="1:3" x14ac:dyDescent="0.25">
      <c r="A31" t="s">
        <v>3</v>
      </c>
      <c r="B31">
        <v>199002</v>
      </c>
      <c r="C31">
        <v>40.4</v>
      </c>
    </row>
    <row r="32" spans="1:3" x14ac:dyDescent="0.25">
      <c r="A32" t="s">
        <v>3</v>
      </c>
      <c r="B32">
        <v>199003</v>
      </c>
    </row>
    <row r="33" spans="1:3" x14ac:dyDescent="0.25">
      <c r="A33" t="s">
        <v>3</v>
      </c>
      <c r="B33">
        <v>199004</v>
      </c>
      <c r="C33">
        <v>123.5</v>
      </c>
    </row>
    <row r="34" spans="1:3" x14ac:dyDescent="0.25">
      <c r="A34" t="s">
        <v>3</v>
      </c>
      <c r="B34">
        <v>199005</v>
      </c>
      <c r="C34">
        <v>139.19999999999999</v>
      </c>
    </row>
    <row r="35" spans="1:3" x14ac:dyDescent="0.25">
      <c r="A35" t="s">
        <v>3</v>
      </c>
      <c r="B35">
        <v>199006</v>
      </c>
      <c r="C35">
        <v>77.3</v>
      </c>
    </row>
    <row r="36" spans="1:3" x14ac:dyDescent="0.25">
      <c r="A36" t="s">
        <v>3</v>
      </c>
      <c r="B36">
        <v>199007</v>
      </c>
      <c r="C36">
        <v>84.5</v>
      </c>
    </row>
    <row r="37" spans="1:3" x14ac:dyDescent="0.25">
      <c r="A37" t="s">
        <v>3</v>
      </c>
      <c r="B37">
        <v>199101</v>
      </c>
      <c r="C37">
        <v>92.6</v>
      </c>
    </row>
    <row r="38" spans="1:3" x14ac:dyDescent="0.25">
      <c r="A38" t="s">
        <v>3</v>
      </c>
      <c r="B38">
        <v>199102</v>
      </c>
      <c r="C38">
        <v>75.099999999999994</v>
      </c>
    </row>
    <row r="39" spans="1:3" x14ac:dyDescent="0.25">
      <c r="A39" t="s">
        <v>3</v>
      </c>
      <c r="B39">
        <v>199103</v>
      </c>
      <c r="C39">
        <v>84.4</v>
      </c>
    </row>
    <row r="40" spans="1:3" x14ac:dyDescent="0.25">
      <c r="A40" t="s">
        <v>3</v>
      </c>
      <c r="B40">
        <v>199104</v>
      </c>
      <c r="C40">
        <v>154.6</v>
      </c>
    </row>
    <row r="41" spans="1:3" x14ac:dyDescent="0.25">
      <c r="A41" t="s">
        <v>3</v>
      </c>
      <c r="B41">
        <v>199105</v>
      </c>
      <c r="C41">
        <v>64.400000000000006</v>
      </c>
    </row>
    <row r="42" spans="1:3" x14ac:dyDescent="0.25">
      <c r="A42" t="s">
        <v>3</v>
      </c>
      <c r="B42">
        <v>199106</v>
      </c>
      <c r="C42">
        <v>69.5</v>
      </c>
    </row>
    <row r="43" spans="1:3" x14ac:dyDescent="0.25">
      <c r="A43" t="s">
        <v>3</v>
      </c>
      <c r="B43">
        <v>199107</v>
      </c>
      <c r="C43">
        <v>60.5</v>
      </c>
    </row>
    <row r="44" spans="1:3" x14ac:dyDescent="0.25">
      <c r="A44" t="s">
        <v>3</v>
      </c>
      <c r="B44">
        <v>199201</v>
      </c>
      <c r="C44">
        <v>115.7</v>
      </c>
    </row>
    <row r="45" spans="1:3" x14ac:dyDescent="0.25">
      <c r="A45" t="s">
        <v>3</v>
      </c>
      <c r="B45">
        <v>199202</v>
      </c>
      <c r="C45">
        <v>39.799999999999997</v>
      </c>
    </row>
    <row r="46" spans="1:3" x14ac:dyDescent="0.25">
      <c r="A46" t="s">
        <v>3</v>
      </c>
      <c r="B46">
        <v>199203</v>
      </c>
      <c r="C46">
        <v>51.7</v>
      </c>
    </row>
    <row r="47" spans="1:3" x14ac:dyDescent="0.25">
      <c r="A47" t="s">
        <v>3</v>
      </c>
      <c r="B47">
        <v>199204</v>
      </c>
      <c r="C47">
        <v>56.4</v>
      </c>
    </row>
    <row r="48" spans="1:3" x14ac:dyDescent="0.25">
      <c r="A48" t="s">
        <v>3</v>
      </c>
      <c r="B48">
        <v>199205</v>
      </c>
      <c r="C48">
        <v>119.3</v>
      </c>
    </row>
    <row r="49" spans="1:3" x14ac:dyDescent="0.25">
      <c r="A49" t="s">
        <v>3</v>
      </c>
      <c r="B49">
        <v>199206</v>
      </c>
      <c r="C49">
        <v>191.8</v>
      </c>
    </row>
    <row r="50" spans="1:3" x14ac:dyDescent="0.25">
      <c r="A50" t="s">
        <v>3</v>
      </c>
      <c r="B50">
        <v>199207</v>
      </c>
      <c r="C50">
        <v>112.1</v>
      </c>
    </row>
    <row r="51" spans="1:3" x14ac:dyDescent="0.25">
      <c r="A51" t="s">
        <v>3</v>
      </c>
      <c r="B51">
        <v>199301</v>
      </c>
      <c r="C51">
        <v>93.2</v>
      </c>
    </row>
    <row r="52" spans="1:3" x14ac:dyDescent="0.25">
      <c r="A52" t="s">
        <v>3</v>
      </c>
      <c r="B52">
        <v>199302</v>
      </c>
      <c r="C52">
        <v>69.599999999999994</v>
      </c>
    </row>
    <row r="53" spans="1:3" x14ac:dyDescent="0.25">
      <c r="A53" t="s">
        <v>3</v>
      </c>
      <c r="B53">
        <v>199303</v>
      </c>
      <c r="C53">
        <v>32.1</v>
      </c>
    </row>
    <row r="54" spans="1:3" x14ac:dyDescent="0.25">
      <c r="A54" t="s">
        <v>3</v>
      </c>
      <c r="B54">
        <v>199304</v>
      </c>
      <c r="C54">
        <v>46.3</v>
      </c>
    </row>
    <row r="55" spans="1:3" x14ac:dyDescent="0.25">
      <c r="A55" t="s">
        <v>3</v>
      </c>
      <c r="B55">
        <v>199305</v>
      </c>
      <c r="C55">
        <v>202</v>
      </c>
    </row>
    <row r="56" spans="1:3" x14ac:dyDescent="0.25">
      <c r="A56" t="s">
        <v>3</v>
      </c>
      <c r="B56">
        <v>199306</v>
      </c>
      <c r="C56">
        <v>149.30000000000001</v>
      </c>
    </row>
    <row r="57" spans="1:3" x14ac:dyDescent="0.25">
      <c r="A57" t="s">
        <v>3</v>
      </c>
      <c r="B57">
        <v>199307</v>
      </c>
      <c r="C57">
        <v>195.3</v>
      </c>
    </row>
    <row r="58" spans="1:3" x14ac:dyDescent="0.25">
      <c r="A58" t="s">
        <v>3</v>
      </c>
      <c r="B58">
        <v>199401</v>
      </c>
      <c r="C58">
        <v>54.5</v>
      </c>
    </row>
    <row r="59" spans="1:3" x14ac:dyDescent="0.25">
      <c r="A59" t="s">
        <v>3</v>
      </c>
      <c r="B59">
        <v>199402</v>
      </c>
      <c r="C59">
        <v>55.9</v>
      </c>
    </row>
    <row r="60" spans="1:3" x14ac:dyDescent="0.25">
      <c r="A60" t="s">
        <v>3</v>
      </c>
      <c r="B60">
        <v>199403</v>
      </c>
      <c r="C60">
        <v>20.7</v>
      </c>
    </row>
    <row r="61" spans="1:3" x14ac:dyDescent="0.25">
      <c r="A61" t="s">
        <v>3</v>
      </c>
      <c r="B61">
        <v>199404</v>
      </c>
      <c r="C61">
        <v>59.5</v>
      </c>
    </row>
    <row r="62" spans="1:3" x14ac:dyDescent="0.25">
      <c r="A62" t="s">
        <v>3</v>
      </c>
      <c r="B62">
        <v>199405</v>
      </c>
      <c r="C62">
        <v>78.8</v>
      </c>
    </row>
    <row r="63" spans="1:3" x14ac:dyDescent="0.25">
      <c r="A63" t="s">
        <v>3</v>
      </c>
      <c r="B63">
        <v>199406</v>
      </c>
      <c r="C63">
        <v>70.5</v>
      </c>
    </row>
    <row r="64" spans="1:3" x14ac:dyDescent="0.25">
      <c r="A64" t="s">
        <v>3</v>
      </c>
      <c r="B64">
        <v>199407</v>
      </c>
      <c r="C64">
        <v>75.2</v>
      </c>
    </row>
    <row r="65" spans="1:3" x14ac:dyDescent="0.25">
      <c r="A65" t="s">
        <v>3</v>
      </c>
      <c r="B65">
        <v>199501</v>
      </c>
      <c r="C65">
        <v>73.3</v>
      </c>
    </row>
    <row r="66" spans="1:3" x14ac:dyDescent="0.25">
      <c r="A66" t="s">
        <v>3</v>
      </c>
      <c r="B66">
        <v>199502</v>
      </c>
      <c r="C66">
        <v>29.1</v>
      </c>
    </row>
    <row r="67" spans="1:3" x14ac:dyDescent="0.25">
      <c r="A67" t="s">
        <v>3</v>
      </c>
      <c r="B67">
        <v>199503</v>
      </c>
      <c r="C67">
        <v>94.4</v>
      </c>
    </row>
    <row r="68" spans="1:3" x14ac:dyDescent="0.25">
      <c r="A68" t="s">
        <v>3</v>
      </c>
      <c r="B68">
        <v>199504</v>
      </c>
      <c r="C68">
        <v>19.8</v>
      </c>
    </row>
    <row r="69" spans="1:3" x14ac:dyDescent="0.25">
      <c r="A69" t="s">
        <v>3</v>
      </c>
      <c r="B69">
        <v>199505</v>
      </c>
      <c r="C69">
        <v>71.099999999999994</v>
      </c>
    </row>
    <row r="70" spans="1:3" x14ac:dyDescent="0.25">
      <c r="A70" t="s">
        <v>3</v>
      </c>
      <c r="B70">
        <v>199506</v>
      </c>
      <c r="C70">
        <v>47.8</v>
      </c>
    </row>
    <row r="71" spans="1:3" x14ac:dyDescent="0.25">
      <c r="A71" t="s">
        <v>3</v>
      </c>
      <c r="B71">
        <v>199507</v>
      </c>
      <c r="C71">
        <v>124.3</v>
      </c>
    </row>
    <row r="72" spans="1:3" x14ac:dyDescent="0.25">
      <c r="A72" t="s">
        <v>3</v>
      </c>
      <c r="B72">
        <v>199601</v>
      </c>
      <c r="C72">
        <v>86.1</v>
      </c>
    </row>
    <row r="73" spans="1:3" x14ac:dyDescent="0.25">
      <c r="A73" t="s">
        <v>3</v>
      </c>
      <c r="B73">
        <v>199602</v>
      </c>
      <c r="C73">
        <v>41.4</v>
      </c>
    </row>
    <row r="74" spans="1:3" x14ac:dyDescent="0.25">
      <c r="A74" t="s">
        <v>3</v>
      </c>
      <c r="B74">
        <v>199603</v>
      </c>
      <c r="C74">
        <v>60.8</v>
      </c>
    </row>
    <row r="75" spans="1:3" x14ac:dyDescent="0.25">
      <c r="A75" t="s">
        <v>3</v>
      </c>
      <c r="B75">
        <v>199604</v>
      </c>
      <c r="C75">
        <v>54.6</v>
      </c>
    </row>
    <row r="76" spans="1:3" x14ac:dyDescent="0.25">
      <c r="A76" t="s">
        <v>3</v>
      </c>
      <c r="B76">
        <v>199605</v>
      </c>
      <c r="C76">
        <v>41.2</v>
      </c>
    </row>
    <row r="77" spans="1:3" x14ac:dyDescent="0.25">
      <c r="A77" t="s">
        <v>3</v>
      </c>
      <c r="B77">
        <v>199606</v>
      </c>
      <c r="C77">
        <v>87.8</v>
      </c>
    </row>
    <row r="78" spans="1:3" x14ac:dyDescent="0.25">
      <c r="A78" t="s">
        <v>3</v>
      </c>
      <c r="B78">
        <v>199607</v>
      </c>
      <c r="C78">
        <v>169.4</v>
      </c>
    </row>
    <row r="79" spans="1:3" x14ac:dyDescent="0.25">
      <c r="A79" t="s">
        <v>3</v>
      </c>
      <c r="B79">
        <v>199701</v>
      </c>
      <c r="C79">
        <v>96.8</v>
      </c>
    </row>
    <row r="80" spans="1:3" x14ac:dyDescent="0.25">
      <c r="A80" t="s">
        <v>3</v>
      </c>
      <c r="B80">
        <v>199702</v>
      </c>
      <c r="C80">
        <v>82.3</v>
      </c>
    </row>
    <row r="81" spans="1:3" x14ac:dyDescent="0.25">
      <c r="A81" t="s">
        <v>3</v>
      </c>
      <c r="B81">
        <v>199703</v>
      </c>
      <c r="C81">
        <v>60.3</v>
      </c>
    </row>
    <row r="82" spans="1:3" x14ac:dyDescent="0.25">
      <c r="A82" t="s">
        <v>3</v>
      </c>
      <c r="B82">
        <v>199704</v>
      </c>
      <c r="C82">
        <v>25.2</v>
      </c>
    </row>
    <row r="83" spans="1:3" x14ac:dyDescent="0.25">
      <c r="A83" t="s">
        <v>3</v>
      </c>
      <c r="B83">
        <v>199705</v>
      </c>
      <c r="C83">
        <v>94.5</v>
      </c>
    </row>
    <row r="84" spans="1:3" x14ac:dyDescent="0.25">
      <c r="A84" t="s">
        <v>3</v>
      </c>
      <c r="B84">
        <v>199706</v>
      </c>
      <c r="C84">
        <v>95.3</v>
      </c>
    </row>
    <row r="85" spans="1:3" x14ac:dyDescent="0.25">
      <c r="A85" t="s">
        <v>3</v>
      </c>
      <c r="B85">
        <v>199707</v>
      </c>
      <c r="C85">
        <v>146.69999999999999</v>
      </c>
    </row>
    <row r="86" spans="1:3" x14ac:dyDescent="0.25">
      <c r="A86" t="s">
        <v>3</v>
      </c>
      <c r="B86">
        <v>199801</v>
      </c>
      <c r="C86">
        <v>169.4</v>
      </c>
    </row>
    <row r="87" spans="1:3" x14ac:dyDescent="0.25">
      <c r="A87" t="s">
        <v>3</v>
      </c>
      <c r="B87">
        <v>199802</v>
      </c>
      <c r="C87">
        <v>10.4</v>
      </c>
    </row>
    <row r="88" spans="1:3" x14ac:dyDescent="0.25">
      <c r="A88" t="s">
        <v>3</v>
      </c>
      <c r="B88">
        <v>199803</v>
      </c>
      <c r="C88">
        <v>48.8</v>
      </c>
    </row>
    <row r="89" spans="1:3" x14ac:dyDescent="0.25">
      <c r="A89" t="s">
        <v>3</v>
      </c>
      <c r="B89">
        <v>199804</v>
      </c>
      <c r="C89">
        <v>122.4</v>
      </c>
    </row>
    <row r="90" spans="1:3" x14ac:dyDescent="0.25">
      <c r="A90" t="s">
        <v>3</v>
      </c>
      <c r="B90">
        <v>199805</v>
      </c>
      <c r="C90">
        <v>98</v>
      </c>
    </row>
    <row r="91" spans="1:3" x14ac:dyDescent="0.25">
      <c r="A91" t="s">
        <v>3</v>
      </c>
      <c r="B91">
        <v>199806</v>
      </c>
      <c r="C91">
        <v>178.8</v>
      </c>
    </row>
    <row r="92" spans="1:3" x14ac:dyDescent="0.25">
      <c r="A92" t="s">
        <v>3</v>
      </c>
      <c r="B92">
        <v>199807</v>
      </c>
      <c r="C92">
        <v>172.9</v>
      </c>
    </row>
    <row r="93" spans="1:3" x14ac:dyDescent="0.25">
      <c r="A93" t="s">
        <v>3</v>
      </c>
      <c r="B93">
        <v>199901</v>
      </c>
      <c r="C93">
        <v>113</v>
      </c>
    </row>
    <row r="94" spans="1:3" x14ac:dyDescent="0.25">
      <c r="A94" t="s">
        <v>3</v>
      </c>
      <c r="B94">
        <v>199902</v>
      </c>
      <c r="C94">
        <v>45.9</v>
      </c>
    </row>
    <row r="95" spans="1:3" x14ac:dyDescent="0.25">
      <c r="A95" t="s">
        <v>3</v>
      </c>
      <c r="B95">
        <v>199903</v>
      </c>
      <c r="C95">
        <v>60.6</v>
      </c>
    </row>
    <row r="96" spans="1:3" x14ac:dyDescent="0.25">
      <c r="A96" t="s">
        <v>3</v>
      </c>
      <c r="B96">
        <v>199904</v>
      </c>
      <c r="C96">
        <v>88</v>
      </c>
    </row>
    <row r="97" spans="1:3" x14ac:dyDescent="0.25">
      <c r="A97" t="s">
        <v>3</v>
      </c>
      <c r="B97">
        <v>199905</v>
      </c>
      <c r="C97">
        <v>19.3</v>
      </c>
    </row>
    <row r="98" spans="1:3" x14ac:dyDescent="0.25">
      <c r="A98" t="s">
        <v>3</v>
      </c>
      <c r="B98">
        <v>199906</v>
      </c>
      <c r="C98">
        <v>184.6</v>
      </c>
    </row>
    <row r="99" spans="1:3" x14ac:dyDescent="0.25">
      <c r="A99" t="s">
        <v>3</v>
      </c>
      <c r="B99">
        <v>199907</v>
      </c>
      <c r="C99">
        <v>155.5</v>
      </c>
    </row>
    <row r="100" spans="1:3" x14ac:dyDescent="0.25">
      <c r="A100" t="s">
        <v>3</v>
      </c>
      <c r="B100">
        <v>200001</v>
      </c>
      <c r="C100">
        <v>117.1</v>
      </c>
    </row>
    <row r="101" spans="1:3" x14ac:dyDescent="0.25">
      <c r="A101" t="s">
        <v>3</v>
      </c>
      <c r="B101">
        <v>200002</v>
      </c>
      <c r="C101">
        <v>48.8</v>
      </c>
    </row>
    <row r="102" spans="1:3" x14ac:dyDescent="0.25">
      <c r="A102" t="s">
        <v>3</v>
      </c>
      <c r="B102">
        <v>200003</v>
      </c>
      <c r="C102">
        <v>59.7</v>
      </c>
    </row>
    <row r="103" spans="1:3" x14ac:dyDescent="0.25">
      <c r="A103" t="s">
        <v>3</v>
      </c>
      <c r="B103">
        <v>200004</v>
      </c>
      <c r="C103">
        <v>91.5</v>
      </c>
    </row>
    <row r="104" spans="1:3" x14ac:dyDescent="0.25">
      <c r="A104" t="s">
        <v>3</v>
      </c>
      <c r="B104">
        <v>200005</v>
      </c>
      <c r="C104">
        <v>49.2</v>
      </c>
    </row>
    <row r="105" spans="1:3" x14ac:dyDescent="0.25">
      <c r="A105" t="s">
        <v>3</v>
      </c>
      <c r="B105">
        <v>200006</v>
      </c>
      <c r="C105">
        <v>42.3</v>
      </c>
    </row>
    <row r="106" spans="1:3" x14ac:dyDescent="0.25">
      <c r="A106" t="s">
        <v>3</v>
      </c>
      <c r="B106">
        <v>200007</v>
      </c>
      <c r="C106">
        <v>95.7</v>
      </c>
    </row>
    <row r="107" spans="1:3" x14ac:dyDescent="0.25">
      <c r="A107" t="s">
        <v>3</v>
      </c>
      <c r="B107">
        <v>200101</v>
      </c>
      <c r="C107">
        <v>24.8</v>
      </c>
    </row>
    <row r="108" spans="1:3" x14ac:dyDescent="0.25">
      <c r="A108" t="s">
        <v>3</v>
      </c>
      <c r="B108">
        <v>200102</v>
      </c>
      <c r="C108">
        <v>26.7</v>
      </c>
    </row>
    <row r="109" spans="1:3" x14ac:dyDescent="0.25">
      <c r="A109" t="s">
        <v>3</v>
      </c>
      <c r="B109">
        <v>200103</v>
      </c>
      <c r="C109">
        <v>43.7</v>
      </c>
    </row>
    <row r="110" spans="1:3" x14ac:dyDescent="0.25">
      <c r="A110" t="s">
        <v>3</v>
      </c>
      <c r="B110">
        <v>200104</v>
      </c>
      <c r="C110">
        <v>44.4</v>
      </c>
    </row>
    <row r="111" spans="1:3" x14ac:dyDescent="0.25">
      <c r="A111" t="s">
        <v>3</v>
      </c>
      <c r="B111">
        <v>200105</v>
      </c>
      <c r="C111">
        <v>2.1</v>
      </c>
    </row>
    <row r="112" spans="1:3" x14ac:dyDescent="0.25">
      <c r="A112" t="s">
        <v>3</v>
      </c>
      <c r="B112">
        <v>200106</v>
      </c>
      <c r="C112">
        <v>62.9</v>
      </c>
    </row>
    <row r="113" spans="1:3" x14ac:dyDescent="0.25">
      <c r="A113" t="s">
        <v>3</v>
      </c>
      <c r="B113">
        <v>200201</v>
      </c>
      <c r="C113">
        <v>62.8</v>
      </c>
    </row>
    <row r="114" spans="1:3" x14ac:dyDescent="0.25">
      <c r="A114" t="s">
        <v>3</v>
      </c>
      <c r="B114">
        <v>200202</v>
      </c>
      <c r="C114">
        <v>33.4</v>
      </c>
    </row>
    <row r="115" spans="1:3" x14ac:dyDescent="0.25">
      <c r="A115" t="s">
        <v>3</v>
      </c>
      <c r="B115">
        <v>200203</v>
      </c>
      <c r="C115">
        <v>179</v>
      </c>
    </row>
    <row r="116" spans="1:3" x14ac:dyDescent="0.25">
      <c r="A116" t="s">
        <v>3</v>
      </c>
      <c r="B116">
        <v>200204</v>
      </c>
      <c r="C116">
        <v>123.8</v>
      </c>
    </row>
    <row r="117" spans="1:3" x14ac:dyDescent="0.25">
      <c r="A117" t="s">
        <v>3</v>
      </c>
      <c r="B117">
        <v>200205</v>
      </c>
      <c r="C117">
        <v>161</v>
      </c>
    </row>
    <row r="118" spans="1:3" x14ac:dyDescent="0.25">
      <c r="A118" t="s">
        <v>3</v>
      </c>
      <c r="B118">
        <v>200206</v>
      </c>
      <c r="C118">
        <v>59.9</v>
      </c>
    </row>
    <row r="119" spans="1:3" x14ac:dyDescent="0.25">
      <c r="A119" t="s">
        <v>3</v>
      </c>
      <c r="B119">
        <v>200207</v>
      </c>
      <c r="C119">
        <v>144.4</v>
      </c>
    </row>
    <row r="120" spans="1:3" x14ac:dyDescent="0.25">
      <c r="A120" t="s">
        <v>3</v>
      </c>
      <c r="B120">
        <v>200301</v>
      </c>
      <c r="C120">
        <v>50</v>
      </c>
    </row>
    <row r="121" spans="1:3" x14ac:dyDescent="0.25">
      <c r="A121" t="s">
        <v>3</v>
      </c>
      <c r="B121">
        <v>200302</v>
      </c>
      <c r="C121">
        <v>34.9</v>
      </c>
    </row>
    <row r="122" spans="1:3" x14ac:dyDescent="0.25">
      <c r="A122" t="s">
        <v>3</v>
      </c>
      <c r="B122">
        <v>200303</v>
      </c>
      <c r="C122">
        <v>16.3</v>
      </c>
    </row>
    <row r="123" spans="1:3" x14ac:dyDescent="0.25">
      <c r="A123" t="s">
        <v>3</v>
      </c>
      <c r="B123">
        <v>200304</v>
      </c>
      <c r="C123">
        <v>71.400000000000006</v>
      </c>
    </row>
    <row r="124" spans="1:3" x14ac:dyDescent="0.25">
      <c r="A124" t="s">
        <v>3</v>
      </c>
      <c r="B124">
        <v>200305</v>
      </c>
      <c r="C124">
        <v>38</v>
      </c>
    </row>
    <row r="125" spans="1:3" x14ac:dyDescent="0.25">
      <c r="A125" t="s">
        <v>3</v>
      </c>
      <c r="B125">
        <v>200306</v>
      </c>
      <c r="C125">
        <v>81.8</v>
      </c>
    </row>
    <row r="126" spans="1:3" x14ac:dyDescent="0.25">
      <c r="A126" t="s">
        <v>3</v>
      </c>
      <c r="B126">
        <v>200307</v>
      </c>
      <c r="C126">
        <v>202.7</v>
      </c>
    </row>
    <row r="127" spans="1:3" x14ac:dyDescent="0.25">
      <c r="A127" t="s">
        <v>3</v>
      </c>
      <c r="B127">
        <v>200401</v>
      </c>
      <c r="C127">
        <v>72.8</v>
      </c>
    </row>
    <row r="128" spans="1:3" x14ac:dyDescent="0.25">
      <c r="A128" t="s">
        <v>3</v>
      </c>
      <c r="B128">
        <v>200402</v>
      </c>
      <c r="C128">
        <v>70.900000000000006</v>
      </c>
    </row>
    <row r="129" spans="1:3" x14ac:dyDescent="0.25">
      <c r="A129" t="s">
        <v>3</v>
      </c>
      <c r="B129">
        <v>200403</v>
      </c>
      <c r="C129">
        <v>131.80000000000001</v>
      </c>
    </row>
    <row r="130" spans="1:3" x14ac:dyDescent="0.25">
      <c r="A130" t="s">
        <v>3</v>
      </c>
      <c r="B130">
        <v>200404</v>
      </c>
      <c r="C130">
        <v>29.3</v>
      </c>
    </row>
    <row r="131" spans="1:3" x14ac:dyDescent="0.25">
      <c r="A131" t="s">
        <v>3</v>
      </c>
      <c r="B131">
        <v>200405</v>
      </c>
      <c r="C131">
        <v>326.89999999999998</v>
      </c>
    </row>
    <row r="132" spans="1:3" x14ac:dyDescent="0.25">
      <c r="A132" t="s">
        <v>3</v>
      </c>
      <c r="B132">
        <v>200406</v>
      </c>
      <c r="C132">
        <v>46.9</v>
      </c>
    </row>
    <row r="133" spans="1:3" x14ac:dyDescent="0.25">
      <c r="A133" t="s">
        <v>3</v>
      </c>
      <c r="B133">
        <v>200407</v>
      </c>
      <c r="C133">
        <v>253.5</v>
      </c>
    </row>
    <row r="134" spans="1:3" x14ac:dyDescent="0.25">
      <c r="A134" t="s">
        <v>3</v>
      </c>
      <c r="B134">
        <v>200501</v>
      </c>
      <c r="C134">
        <v>163</v>
      </c>
    </row>
    <row r="135" spans="1:3" x14ac:dyDescent="0.25">
      <c r="A135" t="s">
        <v>3</v>
      </c>
      <c r="B135">
        <v>200502</v>
      </c>
      <c r="C135">
        <v>81.099999999999994</v>
      </c>
    </row>
    <row r="136" spans="1:3" x14ac:dyDescent="0.25">
      <c r="A136" t="s">
        <v>3</v>
      </c>
      <c r="B136">
        <v>200503</v>
      </c>
      <c r="C136">
        <v>12.4</v>
      </c>
    </row>
    <row r="137" spans="1:3" x14ac:dyDescent="0.25">
      <c r="A137" t="s">
        <v>3</v>
      </c>
      <c r="B137">
        <v>200504</v>
      </c>
      <c r="C137">
        <v>94.1</v>
      </c>
    </row>
    <row r="138" spans="1:3" x14ac:dyDescent="0.25">
      <c r="A138" t="s">
        <v>3</v>
      </c>
      <c r="B138">
        <v>200505</v>
      </c>
      <c r="C138">
        <v>85.3</v>
      </c>
    </row>
    <row r="139" spans="1:3" x14ac:dyDescent="0.25">
      <c r="A139" t="s">
        <v>3</v>
      </c>
      <c r="B139">
        <v>200506</v>
      </c>
      <c r="C139">
        <v>186.4</v>
      </c>
    </row>
    <row r="140" spans="1:3" x14ac:dyDescent="0.25">
      <c r="A140" t="s">
        <v>3</v>
      </c>
      <c r="B140">
        <v>200507</v>
      </c>
      <c r="C140">
        <v>174.5</v>
      </c>
    </row>
    <row r="141" spans="1:3" x14ac:dyDescent="0.25">
      <c r="A141" t="s">
        <v>3</v>
      </c>
      <c r="B141">
        <v>200601</v>
      </c>
      <c r="C141">
        <v>104</v>
      </c>
    </row>
    <row r="142" spans="1:3" x14ac:dyDescent="0.25">
      <c r="A142" t="s">
        <v>3</v>
      </c>
      <c r="B142">
        <v>200602</v>
      </c>
      <c r="C142">
        <v>65.2</v>
      </c>
    </row>
    <row r="143" spans="1:3" x14ac:dyDescent="0.25">
      <c r="A143" t="s">
        <v>3</v>
      </c>
      <c r="B143">
        <v>200603</v>
      </c>
      <c r="C143">
        <v>77.099999999999994</v>
      </c>
    </row>
    <row r="144" spans="1:3" x14ac:dyDescent="0.25">
      <c r="A144" t="s">
        <v>3</v>
      </c>
      <c r="B144">
        <v>200604</v>
      </c>
      <c r="C144">
        <v>39</v>
      </c>
    </row>
    <row r="145" spans="1:3" x14ac:dyDescent="0.25">
      <c r="A145" t="s">
        <v>3</v>
      </c>
      <c r="B145">
        <v>200605</v>
      </c>
      <c r="C145">
        <v>104.3</v>
      </c>
    </row>
    <row r="146" spans="1:3" x14ac:dyDescent="0.25">
      <c r="A146" t="s">
        <v>3</v>
      </c>
      <c r="B146">
        <v>200606</v>
      </c>
      <c r="C146">
        <v>218.9</v>
      </c>
    </row>
    <row r="147" spans="1:3" x14ac:dyDescent="0.25">
      <c r="A147" t="s">
        <v>3</v>
      </c>
      <c r="B147">
        <v>200607</v>
      </c>
      <c r="C147">
        <v>145.19999999999999</v>
      </c>
    </row>
    <row r="148" spans="1:3" x14ac:dyDescent="0.25">
      <c r="A148" t="s">
        <v>3</v>
      </c>
      <c r="B148">
        <v>200701</v>
      </c>
      <c r="C148">
        <v>33.5</v>
      </c>
    </row>
    <row r="149" spans="1:3" x14ac:dyDescent="0.25">
      <c r="A149" t="s">
        <v>3</v>
      </c>
      <c r="B149">
        <v>200702</v>
      </c>
      <c r="C149">
        <v>28.4</v>
      </c>
    </row>
    <row r="150" spans="1:3" x14ac:dyDescent="0.25">
      <c r="A150" t="s">
        <v>3</v>
      </c>
      <c r="B150">
        <v>200703</v>
      </c>
      <c r="C150">
        <v>79.099999999999994</v>
      </c>
    </row>
    <row r="151" spans="1:3" x14ac:dyDescent="0.25">
      <c r="A151" t="s">
        <v>3</v>
      </c>
      <c r="B151">
        <v>200704</v>
      </c>
      <c r="C151">
        <v>31.1</v>
      </c>
    </row>
    <row r="152" spans="1:3" x14ac:dyDescent="0.25">
      <c r="A152" t="s">
        <v>3</v>
      </c>
      <c r="B152">
        <v>200705</v>
      </c>
      <c r="C152">
        <v>40.799999999999997</v>
      </c>
    </row>
    <row r="153" spans="1:3" x14ac:dyDescent="0.25">
      <c r="A153" t="s">
        <v>3</v>
      </c>
      <c r="B153">
        <v>200706</v>
      </c>
      <c r="C153">
        <v>75.3</v>
      </c>
    </row>
    <row r="154" spans="1:3" x14ac:dyDescent="0.25">
      <c r="A154" t="s">
        <v>3</v>
      </c>
      <c r="B154">
        <v>200707</v>
      </c>
      <c r="C154">
        <v>111.5</v>
      </c>
    </row>
    <row r="155" spans="1:3" x14ac:dyDescent="0.25">
      <c r="A155" t="s">
        <v>3</v>
      </c>
      <c r="B155">
        <v>200801</v>
      </c>
      <c r="C155">
        <v>46.8</v>
      </c>
    </row>
    <row r="156" spans="1:3" x14ac:dyDescent="0.25">
      <c r="A156" t="s">
        <v>3</v>
      </c>
      <c r="B156">
        <v>200802</v>
      </c>
      <c r="C156">
        <v>58.1</v>
      </c>
    </row>
    <row r="157" spans="1:3" x14ac:dyDescent="0.25">
      <c r="A157" t="s">
        <v>3</v>
      </c>
      <c r="B157">
        <v>200803</v>
      </c>
      <c r="C157">
        <v>78.5</v>
      </c>
    </row>
    <row r="158" spans="1:3" x14ac:dyDescent="0.25">
      <c r="A158" t="s">
        <v>3</v>
      </c>
      <c r="B158">
        <v>200804</v>
      </c>
      <c r="C158">
        <v>108.2</v>
      </c>
    </row>
    <row r="159" spans="1:3" x14ac:dyDescent="0.25">
      <c r="A159" t="s">
        <v>3</v>
      </c>
      <c r="B159">
        <v>200805</v>
      </c>
      <c r="C159">
        <v>72.400000000000006</v>
      </c>
    </row>
    <row r="160" spans="1:3" x14ac:dyDescent="0.25">
      <c r="A160" t="s">
        <v>3</v>
      </c>
      <c r="B160">
        <v>200806</v>
      </c>
      <c r="C160">
        <v>121.1</v>
      </c>
    </row>
    <row r="161" spans="1:3" x14ac:dyDescent="0.25">
      <c r="A161" t="s">
        <v>3</v>
      </c>
      <c r="B161">
        <v>200807</v>
      </c>
      <c r="C161">
        <v>96.7</v>
      </c>
    </row>
    <row r="162" spans="1:3" x14ac:dyDescent="0.25">
      <c r="A162" t="s">
        <v>3</v>
      </c>
      <c r="B162">
        <v>200901</v>
      </c>
      <c r="C162">
        <v>54.5</v>
      </c>
    </row>
    <row r="163" spans="1:3" x14ac:dyDescent="0.25">
      <c r="A163" t="s">
        <v>3</v>
      </c>
      <c r="B163">
        <v>200902</v>
      </c>
      <c r="C163">
        <v>57.9</v>
      </c>
    </row>
    <row r="164" spans="1:3" x14ac:dyDescent="0.25">
      <c r="A164" t="s">
        <v>3</v>
      </c>
      <c r="B164">
        <v>200903</v>
      </c>
      <c r="C164">
        <v>10.9</v>
      </c>
    </row>
    <row r="165" spans="1:3" x14ac:dyDescent="0.25">
      <c r="A165" t="s">
        <v>3</v>
      </c>
      <c r="B165">
        <v>200904</v>
      </c>
      <c r="C165">
        <v>128.4</v>
      </c>
    </row>
    <row r="166" spans="1:3" x14ac:dyDescent="0.25">
      <c r="A166" t="s">
        <v>3</v>
      </c>
      <c r="B166">
        <v>200905</v>
      </c>
      <c r="C166">
        <v>194.1</v>
      </c>
    </row>
    <row r="167" spans="1:3" x14ac:dyDescent="0.25">
      <c r="A167" t="s">
        <v>3</v>
      </c>
      <c r="B167">
        <v>200906</v>
      </c>
      <c r="C167">
        <v>111.1</v>
      </c>
    </row>
    <row r="168" spans="1:3" x14ac:dyDescent="0.25">
      <c r="A168" t="s">
        <v>3</v>
      </c>
      <c r="B168">
        <v>200907</v>
      </c>
      <c r="C168">
        <v>119.9</v>
      </c>
    </row>
    <row r="169" spans="1:3" x14ac:dyDescent="0.25">
      <c r="A169" t="s">
        <v>3</v>
      </c>
      <c r="B169">
        <v>201001</v>
      </c>
      <c r="C169">
        <v>101.6</v>
      </c>
    </row>
    <row r="170" spans="1:3" x14ac:dyDescent="0.25">
      <c r="A170" t="s">
        <v>3</v>
      </c>
      <c r="B170">
        <v>201002</v>
      </c>
      <c r="C170">
        <v>2.2999999999999998</v>
      </c>
    </row>
    <row r="171" spans="1:3" x14ac:dyDescent="0.25">
      <c r="A171" t="s">
        <v>3</v>
      </c>
      <c r="B171">
        <v>201003</v>
      </c>
      <c r="C171">
        <v>125.5</v>
      </c>
    </row>
    <row r="172" spans="1:3" x14ac:dyDescent="0.25">
      <c r="A172" t="s">
        <v>3</v>
      </c>
      <c r="B172">
        <v>201004</v>
      </c>
      <c r="C172">
        <v>245.5</v>
      </c>
    </row>
    <row r="173" spans="1:3" x14ac:dyDescent="0.25">
      <c r="A173" t="s">
        <v>3</v>
      </c>
      <c r="B173">
        <v>201005</v>
      </c>
      <c r="C173">
        <v>198.9</v>
      </c>
    </row>
    <row r="174" spans="1:3" x14ac:dyDescent="0.25">
      <c r="A174" t="s">
        <v>3</v>
      </c>
      <c r="B174">
        <v>201006</v>
      </c>
      <c r="C174">
        <v>224.5</v>
      </c>
    </row>
    <row r="175" spans="1:3" x14ac:dyDescent="0.25">
      <c r="A175" t="s">
        <v>3</v>
      </c>
      <c r="B175">
        <v>201007</v>
      </c>
      <c r="C175">
        <v>197.5</v>
      </c>
    </row>
    <row r="176" spans="1:3" x14ac:dyDescent="0.25">
      <c r="A176" t="s">
        <v>3</v>
      </c>
      <c r="B176">
        <v>201101</v>
      </c>
      <c r="C176">
        <v>208</v>
      </c>
    </row>
    <row r="177" spans="1:3" x14ac:dyDescent="0.25">
      <c r="A177" t="s">
        <v>3</v>
      </c>
      <c r="B177">
        <v>201102</v>
      </c>
    </row>
    <row r="178" spans="1:3" x14ac:dyDescent="0.25">
      <c r="A178" t="s">
        <v>3</v>
      </c>
      <c r="B178">
        <v>201103</v>
      </c>
      <c r="C178">
        <v>137.5</v>
      </c>
    </row>
    <row r="179" spans="1:3" x14ac:dyDescent="0.25">
      <c r="A179" t="s">
        <v>3</v>
      </c>
      <c r="B179">
        <v>201104</v>
      </c>
      <c r="C179">
        <v>154</v>
      </c>
    </row>
    <row r="180" spans="1:3" x14ac:dyDescent="0.25">
      <c r="A180" t="s">
        <v>3</v>
      </c>
      <c r="B180">
        <v>201105</v>
      </c>
      <c r="C180">
        <v>297.5</v>
      </c>
    </row>
    <row r="181" spans="1:3" x14ac:dyDescent="0.25">
      <c r="A181" t="s">
        <v>3</v>
      </c>
      <c r="B181">
        <v>201106</v>
      </c>
      <c r="C181">
        <v>130.5</v>
      </c>
    </row>
    <row r="182" spans="1:3" x14ac:dyDescent="0.25">
      <c r="A182" t="s">
        <v>3</v>
      </c>
      <c r="B182">
        <v>201107</v>
      </c>
      <c r="C182">
        <v>341</v>
      </c>
    </row>
    <row r="183" spans="1:3" x14ac:dyDescent="0.25">
      <c r="A183" t="s">
        <v>3</v>
      </c>
      <c r="B183">
        <v>201201</v>
      </c>
      <c r="C183">
        <v>52</v>
      </c>
    </row>
    <row r="184" spans="1:3" x14ac:dyDescent="0.25">
      <c r="A184" t="s">
        <v>3</v>
      </c>
      <c r="B184">
        <v>201202</v>
      </c>
      <c r="C184">
        <v>28.5</v>
      </c>
    </row>
    <row r="185" spans="1:3" x14ac:dyDescent="0.25">
      <c r="A185" t="s">
        <v>3</v>
      </c>
      <c r="B185">
        <v>201203</v>
      </c>
      <c r="C185">
        <v>49.5</v>
      </c>
    </row>
    <row r="186" spans="1:3" x14ac:dyDescent="0.25">
      <c r="A186" t="s">
        <v>3</v>
      </c>
      <c r="B186">
        <v>201204</v>
      </c>
      <c r="C186">
        <v>266.5</v>
      </c>
    </row>
    <row r="187" spans="1:3" x14ac:dyDescent="0.25">
      <c r="A187" t="s">
        <v>3</v>
      </c>
      <c r="B187">
        <v>201205</v>
      </c>
      <c r="C187">
        <v>108.5</v>
      </c>
    </row>
    <row r="188" spans="1:3" x14ac:dyDescent="0.25">
      <c r="A188" t="s">
        <v>3</v>
      </c>
      <c r="B188">
        <v>201206</v>
      </c>
      <c r="C188">
        <v>26.5</v>
      </c>
    </row>
    <row r="189" spans="1:3" x14ac:dyDescent="0.25">
      <c r="A189" t="s">
        <v>3</v>
      </c>
      <c r="B189">
        <v>201207</v>
      </c>
      <c r="C189">
        <v>235.5</v>
      </c>
    </row>
    <row r="190" spans="1:3" x14ac:dyDescent="0.25">
      <c r="A190" t="s">
        <v>3</v>
      </c>
      <c r="B190">
        <v>201301</v>
      </c>
      <c r="C190">
        <v>66.5</v>
      </c>
    </row>
    <row r="191" spans="1:3" x14ac:dyDescent="0.25">
      <c r="A191" t="s">
        <v>3</v>
      </c>
      <c r="B191">
        <v>201302</v>
      </c>
      <c r="C191">
        <v>54</v>
      </c>
    </row>
    <row r="192" spans="1:3" x14ac:dyDescent="0.25">
      <c r="A192" t="s">
        <v>3</v>
      </c>
      <c r="B192">
        <v>201303</v>
      </c>
      <c r="C192">
        <v>73</v>
      </c>
    </row>
    <row r="193" spans="1:3" x14ac:dyDescent="0.25">
      <c r="A193" t="s">
        <v>3</v>
      </c>
      <c r="B193">
        <v>201304</v>
      </c>
      <c r="C193">
        <v>257.5</v>
      </c>
    </row>
    <row r="194" spans="1:3" x14ac:dyDescent="0.25">
      <c r="A194" t="s">
        <v>3</v>
      </c>
      <c r="B194">
        <v>201305</v>
      </c>
      <c r="C194">
        <v>231</v>
      </c>
    </row>
    <row r="195" spans="1:3" x14ac:dyDescent="0.25">
      <c r="A195" t="s">
        <v>3</v>
      </c>
      <c r="B195">
        <v>201306</v>
      </c>
      <c r="C195">
        <v>157</v>
      </c>
    </row>
    <row r="196" spans="1:3" x14ac:dyDescent="0.25">
      <c r="A196" t="s">
        <v>3</v>
      </c>
      <c r="B196">
        <v>201307</v>
      </c>
      <c r="C196">
        <v>159</v>
      </c>
    </row>
    <row r="197" spans="1:3" x14ac:dyDescent="0.25">
      <c r="A197" t="s">
        <v>3</v>
      </c>
      <c r="B197">
        <v>201401</v>
      </c>
      <c r="C197">
        <v>62</v>
      </c>
    </row>
    <row r="198" spans="1:3" x14ac:dyDescent="0.25">
      <c r="A198" t="s">
        <v>3</v>
      </c>
      <c r="B198">
        <v>201402</v>
      </c>
      <c r="C198">
        <v>34.5</v>
      </c>
    </row>
    <row r="199" spans="1:3" x14ac:dyDescent="0.25">
      <c r="A199" t="s">
        <v>3</v>
      </c>
      <c r="B199">
        <v>201403</v>
      </c>
      <c r="C199">
        <v>29</v>
      </c>
    </row>
    <row r="200" spans="1:3" x14ac:dyDescent="0.25">
      <c r="A200" t="s">
        <v>3</v>
      </c>
      <c r="B200">
        <v>201404</v>
      </c>
      <c r="C200">
        <v>124</v>
      </c>
    </row>
    <row r="201" spans="1:3" x14ac:dyDescent="0.25">
      <c r="A201" t="s">
        <v>3</v>
      </c>
      <c r="B201">
        <v>201405</v>
      </c>
      <c r="C201">
        <v>62.5</v>
      </c>
    </row>
    <row r="202" spans="1:3" x14ac:dyDescent="0.25">
      <c r="A202" t="s">
        <v>3</v>
      </c>
      <c r="B202">
        <v>201406</v>
      </c>
      <c r="C202">
        <v>91.5</v>
      </c>
    </row>
    <row r="203" spans="1:3" x14ac:dyDescent="0.25">
      <c r="A203" t="s">
        <v>3</v>
      </c>
      <c r="B203">
        <v>201407</v>
      </c>
      <c r="C203">
        <v>64.5</v>
      </c>
    </row>
    <row r="204" spans="1:3" x14ac:dyDescent="0.25">
      <c r="A204" t="s">
        <v>3</v>
      </c>
      <c r="B204">
        <v>201501</v>
      </c>
      <c r="C204">
        <v>52</v>
      </c>
    </row>
    <row r="205" spans="1:3" x14ac:dyDescent="0.25">
      <c r="A205" t="s">
        <v>3</v>
      </c>
      <c r="B205">
        <v>201502</v>
      </c>
      <c r="C205">
        <v>46.5</v>
      </c>
    </row>
    <row r="206" spans="1:3" x14ac:dyDescent="0.25">
      <c r="A206" t="s">
        <v>3</v>
      </c>
      <c r="B206">
        <v>201503</v>
      </c>
      <c r="C206">
        <v>44</v>
      </c>
    </row>
    <row r="207" spans="1:3" x14ac:dyDescent="0.25">
      <c r="A207" t="s">
        <v>3</v>
      </c>
      <c r="B207">
        <v>201504</v>
      </c>
      <c r="C207">
        <v>73</v>
      </c>
    </row>
    <row r="208" spans="1:3" x14ac:dyDescent="0.25">
      <c r="A208" t="s">
        <v>3</v>
      </c>
      <c r="B208">
        <v>201505</v>
      </c>
      <c r="C208">
        <v>12</v>
      </c>
    </row>
    <row r="209" spans="1:3" x14ac:dyDescent="0.25">
      <c r="A209" t="s">
        <v>3</v>
      </c>
      <c r="B209">
        <v>201506</v>
      </c>
      <c r="C209">
        <v>62</v>
      </c>
    </row>
    <row r="210" spans="1:3" x14ac:dyDescent="0.25">
      <c r="A210" t="s">
        <v>3</v>
      </c>
      <c r="B210">
        <v>201507</v>
      </c>
      <c r="C210">
        <v>78</v>
      </c>
    </row>
    <row r="211" spans="1:3" x14ac:dyDescent="0.25">
      <c r="A211" t="s">
        <v>3</v>
      </c>
      <c r="B211">
        <v>201601</v>
      </c>
      <c r="C211">
        <v>45</v>
      </c>
    </row>
    <row r="212" spans="1:3" x14ac:dyDescent="0.25">
      <c r="A212" t="s">
        <v>3</v>
      </c>
      <c r="B212">
        <v>201602</v>
      </c>
      <c r="C212">
        <v>38.5</v>
      </c>
    </row>
    <row r="213" spans="1:3" x14ac:dyDescent="0.25">
      <c r="A213" t="s">
        <v>3</v>
      </c>
      <c r="B213">
        <v>201603</v>
      </c>
      <c r="C213">
        <v>113.5</v>
      </c>
    </row>
    <row r="214" spans="1:3" x14ac:dyDescent="0.25">
      <c r="A214" t="s">
        <v>3</v>
      </c>
      <c r="B214">
        <v>201604</v>
      </c>
      <c r="C214">
        <v>108.5</v>
      </c>
    </row>
    <row r="215" spans="1:3" x14ac:dyDescent="0.25">
      <c r="A215" t="s">
        <v>3</v>
      </c>
      <c r="B215">
        <v>201605</v>
      </c>
      <c r="C215">
        <v>96</v>
      </c>
    </row>
    <row r="216" spans="1:3" x14ac:dyDescent="0.25">
      <c r="A216" t="s">
        <v>3</v>
      </c>
      <c r="B216">
        <v>201606</v>
      </c>
      <c r="C216">
        <v>142</v>
      </c>
    </row>
    <row r="217" spans="1:3" x14ac:dyDescent="0.25">
      <c r="A217" t="s">
        <v>3</v>
      </c>
      <c r="B217">
        <v>201607</v>
      </c>
      <c r="C217">
        <v>128</v>
      </c>
    </row>
    <row r="218" spans="1:3" x14ac:dyDescent="0.25">
      <c r="A218" t="s">
        <v>3</v>
      </c>
      <c r="B218">
        <v>201701</v>
      </c>
      <c r="C218">
        <v>40.5</v>
      </c>
    </row>
    <row r="219" spans="1:3" x14ac:dyDescent="0.25">
      <c r="A219" t="s">
        <v>3</v>
      </c>
      <c r="B219">
        <v>201702</v>
      </c>
      <c r="C219">
        <v>36.5</v>
      </c>
    </row>
    <row r="220" spans="1:3" x14ac:dyDescent="0.25">
      <c r="A220" t="s">
        <v>3</v>
      </c>
      <c r="B220">
        <v>201703</v>
      </c>
      <c r="C220">
        <v>81</v>
      </c>
    </row>
    <row r="221" spans="1:3" x14ac:dyDescent="0.25">
      <c r="A221" t="s">
        <v>3</v>
      </c>
      <c r="B221">
        <v>201704</v>
      </c>
      <c r="C221">
        <v>138</v>
      </c>
    </row>
    <row r="222" spans="1:3" x14ac:dyDescent="0.25">
      <c r="A222" t="s">
        <v>3</v>
      </c>
      <c r="B222">
        <v>201705</v>
      </c>
      <c r="C222">
        <v>185</v>
      </c>
    </row>
    <row r="223" spans="1:3" x14ac:dyDescent="0.25">
      <c r="A223" t="s">
        <v>3</v>
      </c>
      <c r="B223">
        <v>201706</v>
      </c>
      <c r="C223">
        <v>175</v>
      </c>
    </row>
    <row r="224" spans="1:3" x14ac:dyDescent="0.25">
      <c r="A224" t="s">
        <v>3</v>
      </c>
      <c r="B224">
        <v>201707</v>
      </c>
      <c r="C224">
        <v>103.5</v>
      </c>
    </row>
    <row r="225" spans="1:3" x14ac:dyDescent="0.25">
      <c r="A225" t="s">
        <v>3</v>
      </c>
      <c r="B225">
        <v>201801</v>
      </c>
      <c r="C225">
        <v>114</v>
      </c>
    </row>
    <row r="226" spans="1:3" x14ac:dyDescent="0.25">
      <c r="A226" t="s">
        <v>3</v>
      </c>
      <c r="B226">
        <v>201802</v>
      </c>
      <c r="C226">
        <v>70</v>
      </c>
    </row>
    <row r="227" spans="1:3" x14ac:dyDescent="0.25">
      <c r="A227" t="s">
        <v>3</v>
      </c>
      <c r="B227">
        <v>201803</v>
      </c>
      <c r="C227">
        <v>113</v>
      </c>
    </row>
    <row r="228" spans="1:3" x14ac:dyDescent="0.25">
      <c r="A228" t="s">
        <v>3</v>
      </c>
      <c r="B228">
        <v>201804</v>
      </c>
      <c r="C228">
        <v>55</v>
      </c>
    </row>
    <row r="229" spans="1:3" x14ac:dyDescent="0.25">
      <c r="A229" t="s">
        <v>3</v>
      </c>
      <c r="B229">
        <v>201805</v>
      </c>
      <c r="C229">
        <v>190.5</v>
      </c>
    </row>
    <row r="230" spans="1:3" x14ac:dyDescent="0.25">
      <c r="A230" t="s">
        <v>3</v>
      </c>
      <c r="B230">
        <v>201806</v>
      </c>
      <c r="C230">
        <v>62.5</v>
      </c>
    </row>
    <row r="231" spans="1:3" x14ac:dyDescent="0.25">
      <c r="A231" t="s">
        <v>3</v>
      </c>
      <c r="B231">
        <v>201807</v>
      </c>
      <c r="C231">
        <v>257</v>
      </c>
    </row>
    <row r="232" spans="1:3" x14ac:dyDescent="0.25">
      <c r="A232" t="s">
        <v>3</v>
      </c>
      <c r="B232">
        <v>201901</v>
      </c>
      <c r="C232">
        <v>79</v>
      </c>
    </row>
    <row r="233" spans="1:3" x14ac:dyDescent="0.25">
      <c r="A233" t="s">
        <v>3</v>
      </c>
      <c r="B233">
        <v>201902</v>
      </c>
      <c r="C233">
        <v>54.5</v>
      </c>
    </row>
    <row r="234" spans="1:3" x14ac:dyDescent="0.25">
      <c r="A234" t="s">
        <v>3</v>
      </c>
      <c r="B234">
        <v>201903</v>
      </c>
      <c r="C234">
        <v>31.5</v>
      </c>
    </row>
    <row r="235" spans="1:3" x14ac:dyDescent="0.25">
      <c r="A235" t="s">
        <v>3</v>
      </c>
      <c r="B235">
        <v>201904</v>
      </c>
      <c r="C235">
        <v>66.5</v>
      </c>
    </row>
    <row r="236" spans="1:3" x14ac:dyDescent="0.25">
      <c r="A236" t="s">
        <v>3</v>
      </c>
      <c r="B236">
        <v>201905</v>
      </c>
      <c r="C236">
        <v>96</v>
      </c>
    </row>
    <row r="237" spans="1:3" x14ac:dyDescent="0.25">
      <c r="A237" t="s">
        <v>3</v>
      </c>
      <c r="B237">
        <v>201906</v>
      </c>
      <c r="C237">
        <v>130.5</v>
      </c>
    </row>
    <row r="238" spans="1:3" x14ac:dyDescent="0.25">
      <c r="A238" t="s">
        <v>3</v>
      </c>
      <c r="B238">
        <v>201907</v>
      </c>
      <c r="C238">
        <v>187</v>
      </c>
    </row>
    <row r="239" spans="1:3" x14ac:dyDescent="0.25">
      <c r="A239" t="s">
        <v>3</v>
      </c>
      <c r="B239">
        <v>202001</v>
      </c>
      <c r="C239">
        <v>89</v>
      </c>
    </row>
    <row r="240" spans="1:3" x14ac:dyDescent="0.25">
      <c r="A240" t="s">
        <v>3</v>
      </c>
      <c r="B240">
        <v>202002</v>
      </c>
      <c r="C240">
        <v>0</v>
      </c>
    </row>
    <row r="241" spans="1:3" x14ac:dyDescent="0.25">
      <c r="A241" t="s">
        <v>3</v>
      </c>
      <c r="B241">
        <v>202005</v>
      </c>
      <c r="C241">
        <v>5.5</v>
      </c>
    </row>
    <row r="242" spans="1:3" x14ac:dyDescent="0.25">
      <c r="A242" t="s">
        <v>3</v>
      </c>
      <c r="B242">
        <v>202006</v>
      </c>
      <c r="C242">
        <v>103.5</v>
      </c>
    </row>
    <row r="243" spans="1:3" x14ac:dyDescent="0.25">
      <c r="A243" t="s">
        <v>3</v>
      </c>
      <c r="B243">
        <v>202007</v>
      </c>
      <c r="C243">
        <v>150.5</v>
      </c>
    </row>
  </sheetData>
  <autoFilter ref="B1:B243" xr:uid="{FC8EF5E9-5AE6-4EFB-8156-CAC60E83508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7732-7529-4D3F-AE0A-CC6221BAE080}">
  <dimension ref="A1:C8"/>
  <sheetViews>
    <sheetView workbookViewId="0">
      <selection activeCell="C1" sqref="C1:C104857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202601</v>
      </c>
      <c r="C2">
        <v>86.7</v>
      </c>
    </row>
    <row r="3" spans="1:3" x14ac:dyDescent="0.25">
      <c r="A3" t="s">
        <v>3</v>
      </c>
      <c r="B3">
        <v>202602</v>
      </c>
      <c r="C3">
        <v>28.7</v>
      </c>
    </row>
    <row r="4" spans="1:3" x14ac:dyDescent="0.25">
      <c r="A4" t="s">
        <v>3</v>
      </c>
      <c r="B4">
        <v>202603</v>
      </c>
      <c r="C4">
        <v>60.4</v>
      </c>
    </row>
    <row r="5" spans="1:3" x14ac:dyDescent="0.25">
      <c r="A5" t="s">
        <v>3</v>
      </c>
      <c r="B5">
        <v>202604</v>
      </c>
      <c r="C5">
        <v>62.1</v>
      </c>
    </row>
    <row r="6" spans="1:3" x14ac:dyDescent="0.25">
      <c r="A6" t="s">
        <v>3</v>
      </c>
      <c r="B6">
        <v>202605</v>
      </c>
      <c r="C6">
        <v>48.8</v>
      </c>
    </row>
    <row r="7" spans="1:3" x14ac:dyDescent="0.25">
      <c r="A7" t="s">
        <v>3</v>
      </c>
      <c r="B7">
        <v>202606</v>
      </c>
      <c r="C7">
        <v>54.9</v>
      </c>
    </row>
    <row r="8" spans="1:3" x14ac:dyDescent="0.25">
      <c r="A8" t="s">
        <v>3</v>
      </c>
      <c r="B8">
        <v>202607</v>
      </c>
      <c r="C8">
        <v>50.4</v>
      </c>
    </row>
  </sheetData>
  <autoFilter ref="A1:A939" xr:uid="{47BE7732-7529-4D3F-AE0A-CC6221BAE08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C51E-2096-40F1-BC84-47FEC2A0F883}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s="1" t="s">
        <v>6</v>
      </c>
    </row>
  </sheetData>
  <hyperlinks>
    <hyperlink ref="A1" r:id="rId1" xr:uid="{7E79E165-7BD4-4D37-AA3A-C26D3807C5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Analyse</vt:lpstr>
      <vt:lpstr>Guadeloupe 1986-2020 avant août</vt:lpstr>
      <vt:lpstr>Guadeloupe 2026</vt:lpstr>
      <vt:lpstr>Source des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2015-06-05T18:19:34Z</dcterms:created>
  <dcterms:modified xsi:type="dcterms:W3CDTF">2026-07-29T14:31:56Z</dcterms:modified>
</cp:coreProperties>
</file>