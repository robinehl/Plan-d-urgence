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228"/>
  <workbookPr/>
  <mc:AlternateContent xmlns:mc="http://schemas.openxmlformats.org/markup-compatibility/2006">
    <mc:Choice Requires="x15">
      <x15ac:absPath xmlns:x15ac="http://schemas.microsoft.com/office/spreadsheetml/2010/11/ac" url="C:\Users\rehl\Downloads\"/>
    </mc:Choice>
  </mc:AlternateContent>
  <xr:revisionPtr revIDLastSave="0" documentId="13_ncr:1_{C740B6B0-D1ED-46E3-B56A-84AA2D2994C7}" xr6:coauthVersionLast="47" xr6:coauthVersionMax="47" xr10:uidLastSave="{00000000-0000-0000-0000-000000000000}"/>
  <bookViews>
    <workbookView xWindow="-120" yWindow="-120" windowWidth="29040" windowHeight="15720" activeTab="3" xr2:uid="{00000000-000D-0000-FFFF-FFFF00000000}"/>
  </bookViews>
  <sheets>
    <sheet name="Analyse" sheetId="5" r:id="rId1"/>
    <sheet name="Guadeloupe 1986-2020 avant août" sheetId="4" r:id="rId2"/>
    <sheet name="Guadeloupe 2026" sheetId="2" r:id="rId3"/>
    <sheet name="Source des données" sheetId="6" r:id="rId4"/>
  </sheets>
  <definedNames>
    <definedName name="_xlnm._FilterDatabase" localSheetId="1" hidden="1">'Guadeloupe 1986-2020 avant août'!$A$1:$A$243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5" l="1"/>
  <c r="B2" i="5"/>
  <c r="B7" i="5" l="1"/>
  <c r="B6" i="5"/>
</calcChain>
</file>

<file path=xl/sharedStrings.xml><?xml version="1.0" encoding="utf-8"?>
<sst xmlns="http://schemas.openxmlformats.org/spreadsheetml/2006/main" count="14" uniqueCount="11">
  <si>
    <t>Moyenne de 1986 à 2020 sur les mois de janvier à juillet de chaque année</t>
  </si>
  <si>
    <t>Précipitations à la station Sainte Rose-Clugny (Guadeloupe)</t>
  </si>
  <si>
    <t>https://www.data.gouv.fr/datasets/donnees-climatologiques-de-base-mensuelles</t>
  </si>
  <si>
    <t>Cumul entre janvier et juillet 2026</t>
  </si>
  <si>
    <t>Déviance sur les sept premiers mois de 2026 par rapport à la moyenne des sept premiers mois de chaque année sur la période de 1986 à 2020</t>
  </si>
  <si>
    <t>Déviance relative sur les sept premiers mois de 2026 par rapport à la moyenne des sept premiers mois de chaque année sur la période de 1986 à 2020</t>
  </si>
  <si>
    <t>%</t>
  </si>
  <si>
    <t>Unité</t>
  </si>
  <si>
    <t>mm</t>
  </si>
  <si>
    <t>Date (an suivi du mois)</t>
  </si>
  <si>
    <t>Volume des précipitations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</si>
</sst>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2"/>
      <color theme="0"/>
      <name val="Oxfam TSTAR PRO Medium"/>
      <family val="3"/>
    </font>
    <font>
      <sz val="11"/>
      <color theme="1"/>
      <name val="Oxfam TSTAR PRO Medium"/>
      <family val="3"/>
    </font>
    <font>
      <b/>
      <sz val="11"/>
      <color theme="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336114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0" fontId="2" fillId="0" borderId="0" applyNumberFormat="0" applyFill="0" applyBorder="0" applyAlignment="0" applyProtection="0"/>
  </cellStyleXfs>
  <cellXfs count="6">
    <xf numFmtId="0" fontId="0" fillId="0" borderId="0" xfId="0"/>
    <xf numFmtId="0" fontId="2" fillId="0" borderId="0" xfId="2"/>
    <xf numFmtId="0" fontId="3" fillId="2" borderId="0" xfId="0" applyFont="1" applyFill="1"/>
    <xf numFmtId="0" fontId="4" fillId="0" borderId="0" xfId="0" applyFont="1" applyAlignment="1">
      <alignment wrapText="1"/>
    </xf>
    <xf numFmtId="0" fontId="4" fillId="0" borderId="0" xfId="1" applyNumberFormat="1" applyFont="1" applyAlignment="1">
      <alignment wrapText="1"/>
    </xf>
    <xf numFmtId="0" fontId="5" fillId="2" borderId="0" xfId="0" applyFont="1" applyFill="1"/>
  </cellXfs>
  <cellStyles count="3">
    <cellStyle name="Lien hypertexte" xfId="2" builtinId="8"/>
    <cellStyle name="Normal" xfId="0" builtinId="0"/>
    <cellStyle name="Pourcentage" xfId="1" builtinId="5"/>
  </cellStyles>
  <dxfs count="0"/>
  <tableStyles count="0" defaultTableStyle="TableStyleMedium2" defaultPivotStyle="PivotStyleLight16"/>
  <colors>
    <mruColors>
      <color rgb="FF336114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data.gouv.fr/datasets/donnees-climatologiques-de-base-mensuelle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FBBA28-6848-4DE9-8513-1A53B022A8E9}">
  <dimension ref="A1:C7"/>
  <sheetViews>
    <sheetView workbookViewId="0">
      <selection activeCell="B7" sqref="B7"/>
    </sheetView>
  </sheetViews>
  <sheetFormatPr baseColWidth="10" defaultRowHeight="15" x14ac:dyDescent="0.25"/>
  <cols>
    <col min="1" max="1" width="90" customWidth="1"/>
    <col min="2" max="2" width="14.140625" bestFit="1" customWidth="1"/>
  </cols>
  <sheetData>
    <row r="1" spans="1:3" s="2" customFormat="1" ht="15.75" x14ac:dyDescent="0.25">
      <c r="A1" s="2" t="s">
        <v>1</v>
      </c>
      <c r="C1" s="2" t="s">
        <v>7</v>
      </c>
    </row>
    <row r="2" spans="1:3" x14ac:dyDescent="0.25">
      <c r="A2" s="3" t="s">
        <v>0</v>
      </c>
      <c r="B2" s="3">
        <f>(SUM('Guadeloupe 1986-2020 avant août'!B2:B243))/(2020-1986)</f>
        <v>684.08529411764687</v>
      </c>
    </row>
    <row r="3" spans="1:3" x14ac:dyDescent="0.25">
      <c r="A3" s="3"/>
      <c r="B3" s="3"/>
    </row>
    <row r="4" spans="1:3" x14ac:dyDescent="0.25">
      <c r="A4" s="3" t="s">
        <v>3</v>
      </c>
      <c r="B4" s="3">
        <f>SUM('Guadeloupe 2026'!B2:B8)</f>
        <v>391.99999999999994</v>
      </c>
      <c r="C4" t="s">
        <v>8</v>
      </c>
    </row>
    <row r="5" spans="1:3" x14ac:dyDescent="0.25">
      <c r="A5" s="3"/>
      <c r="B5" s="3"/>
    </row>
    <row r="6" spans="1:3" ht="29.25" x14ac:dyDescent="0.25">
      <c r="A6" s="3" t="s">
        <v>4</v>
      </c>
      <c r="B6" s="3">
        <f>B4-B2</f>
        <v>-292.08529411764692</v>
      </c>
      <c r="C6" t="s">
        <v>8</v>
      </c>
    </row>
    <row r="7" spans="1:3" ht="29.25" x14ac:dyDescent="0.25">
      <c r="A7" s="3" t="s">
        <v>5</v>
      </c>
      <c r="B7" s="4">
        <f>(B4-B2)/B2</f>
        <v>-0.42697204081018442</v>
      </c>
      <c r="C7" t="s">
        <v>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8EF5E9-5AE6-4EFB-8156-CAC60E83508F}">
  <dimension ref="A1:B243"/>
  <sheetViews>
    <sheetView workbookViewId="0">
      <pane ySplit="1" topLeftCell="A2" activePane="bottomLeft" state="frozen"/>
      <selection pane="bottomLeft" sqref="A1:XFD1"/>
    </sheetView>
  </sheetViews>
  <sheetFormatPr baseColWidth="10" defaultRowHeight="15" x14ac:dyDescent="0.25"/>
  <sheetData>
    <row r="1" spans="1:2" s="5" customFormat="1" x14ac:dyDescent="0.25">
      <c r="A1" s="5" t="s">
        <v>9</v>
      </c>
      <c r="B1" s="5" t="s">
        <v>10</v>
      </c>
    </row>
    <row r="2" spans="1:2" x14ac:dyDescent="0.25">
      <c r="A2">
        <v>198601</v>
      </c>
      <c r="B2">
        <v>63.1</v>
      </c>
    </row>
    <row r="3" spans="1:2" x14ac:dyDescent="0.25">
      <c r="A3">
        <v>198602</v>
      </c>
      <c r="B3">
        <v>41.7</v>
      </c>
    </row>
    <row r="4" spans="1:2" x14ac:dyDescent="0.25">
      <c r="A4">
        <v>198603</v>
      </c>
      <c r="B4">
        <v>58</v>
      </c>
    </row>
    <row r="5" spans="1:2" x14ac:dyDescent="0.25">
      <c r="A5">
        <v>198604</v>
      </c>
      <c r="B5">
        <v>191</v>
      </c>
    </row>
    <row r="6" spans="1:2" x14ac:dyDescent="0.25">
      <c r="A6">
        <v>198605</v>
      </c>
      <c r="B6">
        <v>113.7</v>
      </c>
    </row>
    <row r="7" spans="1:2" x14ac:dyDescent="0.25">
      <c r="A7">
        <v>198606</v>
      </c>
      <c r="B7">
        <v>39.799999999999997</v>
      </c>
    </row>
    <row r="8" spans="1:2" x14ac:dyDescent="0.25">
      <c r="A8">
        <v>198607</v>
      </c>
      <c r="B8">
        <v>66.2</v>
      </c>
    </row>
    <row r="9" spans="1:2" x14ac:dyDescent="0.25">
      <c r="A9">
        <v>198701</v>
      </c>
      <c r="B9">
        <v>89.7</v>
      </c>
    </row>
    <row r="10" spans="1:2" x14ac:dyDescent="0.25">
      <c r="A10">
        <v>198702</v>
      </c>
      <c r="B10">
        <v>18.8</v>
      </c>
    </row>
    <row r="11" spans="1:2" x14ac:dyDescent="0.25">
      <c r="A11">
        <v>198703</v>
      </c>
      <c r="B11">
        <v>65.5</v>
      </c>
    </row>
    <row r="12" spans="1:2" x14ac:dyDescent="0.25">
      <c r="A12">
        <v>198704</v>
      </c>
      <c r="B12">
        <v>58.4</v>
      </c>
    </row>
    <row r="13" spans="1:2" x14ac:dyDescent="0.25">
      <c r="A13">
        <v>198705</v>
      </c>
      <c r="B13">
        <v>388.3</v>
      </c>
    </row>
    <row r="14" spans="1:2" x14ac:dyDescent="0.25">
      <c r="A14">
        <v>198706</v>
      </c>
      <c r="B14">
        <v>193.4</v>
      </c>
    </row>
    <row r="15" spans="1:2" x14ac:dyDescent="0.25">
      <c r="A15">
        <v>198707</v>
      </c>
      <c r="B15">
        <v>89.9</v>
      </c>
    </row>
    <row r="16" spans="1:2" x14ac:dyDescent="0.25">
      <c r="A16">
        <v>198801</v>
      </c>
      <c r="B16">
        <v>99.2</v>
      </c>
    </row>
    <row r="17" spans="1:2" x14ac:dyDescent="0.25">
      <c r="A17">
        <v>198802</v>
      </c>
      <c r="B17">
        <v>89.4</v>
      </c>
    </row>
    <row r="18" spans="1:2" x14ac:dyDescent="0.25">
      <c r="A18">
        <v>198803</v>
      </c>
      <c r="B18">
        <v>175.5</v>
      </c>
    </row>
    <row r="19" spans="1:2" x14ac:dyDescent="0.25">
      <c r="A19">
        <v>198804</v>
      </c>
      <c r="B19">
        <v>92.5</v>
      </c>
    </row>
    <row r="20" spans="1:2" x14ac:dyDescent="0.25">
      <c r="A20">
        <v>198805</v>
      </c>
      <c r="B20">
        <v>110.7</v>
      </c>
    </row>
    <row r="21" spans="1:2" x14ac:dyDescent="0.25">
      <c r="A21">
        <v>198806</v>
      </c>
      <c r="B21">
        <v>112.2</v>
      </c>
    </row>
    <row r="22" spans="1:2" x14ac:dyDescent="0.25">
      <c r="A22">
        <v>198807</v>
      </c>
      <c r="B22">
        <v>162</v>
      </c>
    </row>
    <row r="23" spans="1:2" x14ac:dyDescent="0.25">
      <c r="A23">
        <v>198901</v>
      </c>
      <c r="B23">
        <v>65.900000000000006</v>
      </c>
    </row>
    <row r="24" spans="1:2" x14ac:dyDescent="0.25">
      <c r="A24">
        <v>198902</v>
      </c>
      <c r="B24">
        <v>59.4</v>
      </c>
    </row>
    <row r="25" spans="1:2" x14ac:dyDescent="0.25">
      <c r="A25">
        <v>198903</v>
      </c>
      <c r="B25">
        <v>42.4</v>
      </c>
    </row>
    <row r="26" spans="1:2" x14ac:dyDescent="0.25">
      <c r="A26">
        <v>198904</v>
      </c>
      <c r="B26">
        <v>103.6</v>
      </c>
    </row>
    <row r="27" spans="1:2" x14ac:dyDescent="0.25">
      <c r="A27">
        <v>198905</v>
      </c>
      <c r="B27">
        <v>65.3</v>
      </c>
    </row>
    <row r="28" spans="1:2" x14ac:dyDescent="0.25">
      <c r="A28">
        <v>198906</v>
      </c>
      <c r="B28">
        <v>29.5</v>
      </c>
    </row>
    <row r="29" spans="1:2" x14ac:dyDescent="0.25">
      <c r="A29">
        <v>198907</v>
      </c>
      <c r="B29">
        <v>131.30000000000001</v>
      </c>
    </row>
    <row r="30" spans="1:2" x14ac:dyDescent="0.25">
      <c r="A30">
        <v>199001</v>
      </c>
      <c r="B30">
        <v>56.5</v>
      </c>
    </row>
    <row r="31" spans="1:2" x14ac:dyDescent="0.25">
      <c r="A31">
        <v>199002</v>
      </c>
      <c r="B31">
        <v>40.4</v>
      </c>
    </row>
    <row r="32" spans="1:2" x14ac:dyDescent="0.25">
      <c r="A32">
        <v>199003</v>
      </c>
    </row>
    <row r="33" spans="1:2" x14ac:dyDescent="0.25">
      <c r="A33">
        <v>199004</v>
      </c>
      <c r="B33">
        <v>123.5</v>
      </c>
    </row>
    <row r="34" spans="1:2" x14ac:dyDescent="0.25">
      <c r="A34">
        <v>199005</v>
      </c>
      <c r="B34">
        <v>139.19999999999999</v>
      </c>
    </row>
    <row r="35" spans="1:2" x14ac:dyDescent="0.25">
      <c r="A35">
        <v>199006</v>
      </c>
      <c r="B35">
        <v>77.3</v>
      </c>
    </row>
    <row r="36" spans="1:2" x14ac:dyDescent="0.25">
      <c r="A36">
        <v>199007</v>
      </c>
      <c r="B36">
        <v>84.5</v>
      </c>
    </row>
    <row r="37" spans="1:2" x14ac:dyDescent="0.25">
      <c r="A37">
        <v>199101</v>
      </c>
      <c r="B37">
        <v>92.6</v>
      </c>
    </row>
    <row r="38" spans="1:2" x14ac:dyDescent="0.25">
      <c r="A38">
        <v>199102</v>
      </c>
      <c r="B38">
        <v>75.099999999999994</v>
      </c>
    </row>
    <row r="39" spans="1:2" x14ac:dyDescent="0.25">
      <c r="A39">
        <v>199103</v>
      </c>
      <c r="B39">
        <v>84.4</v>
      </c>
    </row>
    <row r="40" spans="1:2" x14ac:dyDescent="0.25">
      <c r="A40">
        <v>199104</v>
      </c>
      <c r="B40">
        <v>154.6</v>
      </c>
    </row>
    <row r="41" spans="1:2" x14ac:dyDescent="0.25">
      <c r="A41">
        <v>199105</v>
      </c>
      <c r="B41">
        <v>64.400000000000006</v>
      </c>
    </row>
    <row r="42" spans="1:2" x14ac:dyDescent="0.25">
      <c r="A42">
        <v>199106</v>
      </c>
      <c r="B42">
        <v>69.5</v>
      </c>
    </row>
    <row r="43" spans="1:2" x14ac:dyDescent="0.25">
      <c r="A43">
        <v>199107</v>
      </c>
      <c r="B43">
        <v>60.5</v>
      </c>
    </row>
    <row r="44" spans="1:2" x14ac:dyDescent="0.25">
      <c r="A44">
        <v>199201</v>
      </c>
      <c r="B44">
        <v>115.7</v>
      </c>
    </row>
    <row r="45" spans="1:2" x14ac:dyDescent="0.25">
      <c r="A45">
        <v>199202</v>
      </c>
      <c r="B45">
        <v>39.799999999999997</v>
      </c>
    </row>
    <row r="46" spans="1:2" x14ac:dyDescent="0.25">
      <c r="A46">
        <v>199203</v>
      </c>
      <c r="B46">
        <v>51.7</v>
      </c>
    </row>
    <row r="47" spans="1:2" x14ac:dyDescent="0.25">
      <c r="A47">
        <v>199204</v>
      </c>
      <c r="B47">
        <v>56.4</v>
      </c>
    </row>
    <row r="48" spans="1:2" x14ac:dyDescent="0.25">
      <c r="A48">
        <v>199205</v>
      </c>
      <c r="B48">
        <v>119.3</v>
      </c>
    </row>
    <row r="49" spans="1:2" x14ac:dyDescent="0.25">
      <c r="A49">
        <v>199206</v>
      </c>
      <c r="B49">
        <v>191.8</v>
      </c>
    </row>
    <row r="50" spans="1:2" x14ac:dyDescent="0.25">
      <c r="A50">
        <v>199207</v>
      </c>
      <c r="B50">
        <v>112.1</v>
      </c>
    </row>
    <row r="51" spans="1:2" x14ac:dyDescent="0.25">
      <c r="A51">
        <v>199301</v>
      </c>
      <c r="B51">
        <v>93.2</v>
      </c>
    </row>
    <row r="52" spans="1:2" x14ac:dyDescent="0.25">
      <c r="A52">
        <v>199302</v>
      </c>
      <c r="B52">
        <v>69.599999999999994</v>
      </c>
    </row>
    <row r="53" spans="1:2" x14ac:dyDescent="0.25">
      <c r="A53">
        <v>199303</v>
      </c>
      <c r="B53">
        <v>32.1</v>
      </c>
    </row>
    <row r="54" spans="1:2" x14ac:dyDescent="0.25">
      <c r="A54">
        <v>199304</v>
      </c>
      <c r="B54">
        <v>46.3</v>
      </c>
    </row>
    <row r="55" spans="1:2" x14ac:dyDescent="0.25">
      <c r="A55">
        <v>199305</v>
      </c>
      <c r="B55">
        <v>202</v>
      </c>
    </row>
    <row r="56" spans="1:2" x14ac:dyDescent="0.25">
      <c r="A56">
        <v>199306</v>
      </c>
      <c r="B56">
        <v>149.30000000000001</v>
      </c>
    </row>
    <row r="57" spans="1:2" x14ac:dyDescent="0.25">
      <c r="A57">
        <v>199307</v>
      </c>
      <c r="B57">
        <v>195.3</v>
      </c>
    </row>
    <row r="58" spans="1:2" x14ac:dyDescent="0.25">
      <c r="A58">
        <v>199401</v>
      </c>
      <c r="B58">
        <v>54.5</v>
      </c>
    </row>
    <row r="59" spans="1:2" x14ac:dyDescent="0.25">
      <c r="A59">
        <v>199402</v>
      </c>
      <c r="B59">
        <v>55.9</v>
      </c>
    </row>
    <row r="60" spans="1:2" x14ac:dyDescent="0.25">
      <c r="A60">
        <v>199403</v>
      </c>
      <c r="B60">
        <v>20.7</v>
      </c>
    </row>
    <row r="61" spans="1:2" x14ac:dyDescent="0.25">
      <c r="A61">
        <v>199404</v>
      </c>
      <c r="B61">
        <v>59.5</v>
      </c>
    </row>
    <row r="62" spans="1:2" x14ac:dyDescent="0.25">
      <c r="A62">
        <v>199405</v>
      </c>
      <c r="B62">
        <v>78.8</v>
      </c>
    </row>
    <row r="63" spans="1:2" x14ac:dyDescent="0.25">
      <c r="A63">
        <v>199406</v>
      </c>
      <c r="B63">
        <v>70.5</v>
      </c>
    </row>
    <row r="64" spans="1:2" x14ac:dyDescent="0.25">
      <c r="A64">
        <v>199407</v>
      </c>
      <c r="B64">
        <v>75.2</v>
      </c>
    </row>
    <row r="65" spans="1:2" x14ac:dyDescent="0.25">
      <c r="A65">
        <v>199501</v>
      </c>
      <c r="B65">
        <v>73.3</v>
      </c>
    </row>
    <row r="66" spans="1:2" x14ac:dyDescent="0.25">
      <c r="A66">
        <v>199502</v>
      </c>
      <c r="B66">
        <v>29.1</v>
      </c>
    </row>
    <row r="67" spans="1:2" x14ac:dyDescent="0.25">
      <c r="A67">
        <v>199503</v>
      </c>
      <c r="B67">
        <v>94.4</v>
      </c>
    </row>
    <row r="68" spans="1:2" x14ac:dyDescent="0.25">
      <c r="A68">
        <v>199504</v>
      </c>
      <c r="B68">
        <v>19.8</v>
      </c>
    </row>
    <row r="69" spans="1:2" x14ac:dyDescent="0.25">
      <c r="A69">
        <v>199505</v>
      </c>
      <c r="B69">
        <v>71.099999999999994</v>
      </c>
    </row>
    <row r="70" spans="1:2" x14ac:dyDescent="0.25">
      <c r="A70">
        <v>199506</v>
      </c>
      <c r="B70">
        <v>47.8</v>
      </c>
    </row>
    <row r="71" spans="1:2" x14ac:dyDescent="0.25">
      <c r="A71">
        <v>199507</v>
      </c>
      <c r="B71">
        <v>124.3</v>
      </c>
    </row>
    <row r="72" spans="1:2" x14ac:dyDescent="0.25">
      <c r="A72">
        <v>199601</v>
      </c>
      <c r="B72">
        <v>86.1</v>
      </c>
    </row>
    <row r="73" spans="1:2" x14ac:dyDescent="0.25">
      <c r="A73">
        <v>199602</v>
      </c>
      <c r="B73">
        <v>41.4</v>
      </c>
    </row>
    <row r="74" spans="1:2" x14ac:dyDescent="0.25">
      <c r="A74">
        <v>199603</v>
      </c>
      <c r="B74">
        <v>60.8</v>
      </c>
    </row>
    <row r="75" spans="1:2" x14ac:dyDescent="0.25">
      <c r="A75">
        <v>199604</v>
      </c>
      <c r="B75">
        <v>54.6</v>
      </c>
    </row>
    <row r="76" spans="1:2" x14ac:dyDescent="0.25">
      <c r="A76">
        <v>199605</v>
      </c>
      <c r="B76">
        <v>41.2</v>
      </c>
    </row>
    <row r="77" spans="1:2" x14ac:dyDescent="0.25">
      <c r="A77">
        <v>199606</v>
      </c>
      <c r="B77">
        <v>87.8</v>
      </c>
    </row>
    <row r="78" spans="1:2" x14ac:dyDescent="0.25">
      <c r="A78">
        <v>199607</v>
      </c>
      <c r="B78">
        <v>169.4</v>
      </c>
    </row>
    <row r="79" spans="1:2" x14ac:dyDescent="0.25">
      <c r="A79">
        <v>199701</v>
      </c>
      <c r="B79">
        <v>96.8</v>
      </c>
    </row>
    <row r="80" spans="1:2" x14ac:dyDescent="0.25">
      <c r="A80">
        <v>199702</v>
      </c>
      <c r="B80">
        <v>82.3</v>
      </c>
    </row>
    <row r="81" spans="1:2" x14ac:dyDescent="0.25">
      <c r="A81">
        <v>199703</v>
      </c>
      <c r="B81">
        <v>60.3</v>
      </c>
    </row>
    <row r="82" spans="1:2" x14ac:dyDescent="0.25">
      <c r="A82">
        <v>199704</v>
      </c>
      <c r="B82">
        <v>25.2</v>
      </c>
    </row>
    <row r="83" spans="1:2" x14ac:dyDescent="0.25">
      <c r="A83">
        <v>199705</v>
      </c>
      <c r="B83">
        <v>94.5</v>
      </c>
    </row>
    <row r="84" spans="1:2" x14ac:dyDescent="0.25">
      <c r="A84">
        <v>199706</v>
      </c>
      <c r="B84">
        <v>95.3</v>
      </c>
    </row>
    <row r="85" spans="1:2" x14ac:dyDescent="0.25">
      <c r="A85">
        <v>199707</v>
      </c>
      <c r="B85">
        <v>146.69999999999999</v>
      </c>
    </row>
    <row r="86" spans="1:2" x14ac:dyDescent="0.25">
      <c r="A86">
        <v>199801</v>
      </c>
      <c r="B86">
        <v>169.4</v>
      </c>
    </row>
    <row r="87" spans="1:2" x14ac:dyDescent="0.25">
      <c r="A87">
        <v>199802</v>
      </c>
      <c r="B87">
        <v>10.4</v>
      </c>
    </row>
    <row r="88" spans="1:2" x14ac:dyDescent="0.25">
      <c r="A88">
        <v>199803</v>
      </c>
      <c r="B88">
        <v>48.8</v>
      </c>
    </row>
    <row r="89" spans="1:2" x14ac:dyDescent="0.25">
      <c r="A89">
        <v>199804</v>
      </c>
      <c r="B89">
        <v>122.4</v>
      </c>
    </row>
    <row r="90" spans="1:2" x14ac:dyDescent="0.25">
      <c r="A90">
        <v>199805</v>
      </c>
      <c r="B90">
        <v>98</v>
      </c>
    </row>
    <row r="91" spans="1:2" x14ac:dyDescent="0.25">
      <c r="A91">
        <v>199806</v>
      </c>
      <c r="B91">
        <v>178.8</v>
      </c>
    </row>
    <row r="92" spans="1:2" x14ac:dyDescent="0.25">
      <c r="A92">
        <v>199807</v>
      </c>
      <c r="B92">
        <v>172.9</v>
      </c>
    </row>
    <row r="93" spans="1:2" x14ac:dyDescent="0.25">
      <c r="A93">
        <v>199901</v>
      </c>
      <c r="B93">
        <v>113</v>
      </c>
    </row>
    <row r="94" spans="1:2" x14ac:dyDescent="0.25">
      <c r="A94">
        <v>199902</v>
      </c>
      <c r="B94">
        <v>45.9</v>
      </c>
    </row>
    <row r="95" spans="1:2" x14ac:dyDescent="0.25">
      <c r="A95">
        <v>199903</v>
      </c>
      <c r="B95">
        <v>60.6</v>
      </c>
    </row>
    <row r="96" spans="1:2" x14ac:dyDescent="0.25">
      <c r="A96">
        <v>199904</v>
      </c>
      <c r="B96">
        <v>88</v>
      </c>
    </row>
    <row r="97" spans="1:2" x14ac:dyDescent="0.25">
      <c r="A97">
        <v>199905</v>
      </c>
      <c r="B97">
        <v>19.3</v>
      </c>
    </row>
    <row r="98" spans="1:2" x14ac:dyDescent="0.25">
      <c r="A98">
        <v>199906</v>
      </c>
      <c r="B98">
        <v>184.6</v>
      </c>
    </row>
    <row r="99" spans="1:2" x14ac:dyDescent="0.25">
      <c r="A99">
        <v>199907</v>
      </c>
      <c r="B99">
        <v>155.5</v>
      </c>
    </row>
    <row r="100" spans="1:2" x14ac:dyDescent="0.25">
      <c r="A100">
        <v>200001</v>
      </c>
      <c r="B100">
        <v>117.1</v>
      </c>
    </row>
    <row r="101" spans="1:2" x14ac:dyDescent="0.25">
      <c r="A101">
        <v>200002</v>
      </c>
      <c r="B101">
        <v>48.8</v>
      </c>
    </row>
    <row r="102" spans="1:2" x14ac:dyDescent="0.25">
      <c r="A102">
        <v>200003</v>
      </c>
      <c r="B102">
        <v>59.7</v>
      </c>
    </row>
    <row r="103" spans="1:2" x14ac:dyDescent="0.25">
      <c r="A103">
        <v>200004</v>
      </c>
      <c r="B103">
        <v>91.5</v>
      </c>
    </row>
    <row r="104" spans="1:2" x14ac:dyDescent="0.25">
      <c r="A104">
        <v>200005</v>
      </c>
      <c r="B104">
        <v>49.2</v>
      </c>
    </row>
    <row r="105" spans="1:2" x14ac:dyDescent="0.25">
      <c r="A105">
        <v>200006</v>
      </c>
      <c r="B105">
        <v>42.3</v>
      </c>
    </row>
    <row r="106" spans="1:2" x14ac:dyDescent="0.25">
      <c r="A106">
        <v>200007</v>
      </c>
      <c r="B106">
        <v>95.7</v>
      </c>
    </row>
    <row r="107" spans="1:2" x14ac:dyDescent="0.25">
      <c r="A107">
        <v>200101</v>
      </c>
      <c r="B107">
        <v>24.8</v>
      </c>
    </row>
    <row r="108" spans="1:2" x14ac:dyDescent="0.25">
      <c r="A108">
        <v>200102</v>
      </c>
      <c r="B108">
        <v>26.7</v>
      </c>
    </row>
    <row r="109" spans="1:2" x14ac:dyDescent="0.25">
      <c r="A109">
        <v>200103</v>
      </c>
      <c r="B109">
        <v>43.7</v>
      </c>
    </row>
    <row r="110" spans="1:2" x14ac:dyDescent="0.25">
      <c r="A110">
        <v>200104</v>
      </c>
      <c r="B110">
        <v>44.4</v>
      </c>
    </row>
    <row r="111" spans="1:2" x14ac:dyDescent="0.25">
      <c r="A111">
        <v>200105</v>
      </c>
      <c r="B111">
        <v>2.1</v>
      </c>
    </row>
    <row r="112" spans="1:2" x14ac:dyDescent="0.25">
      <c r="A112">
        <v>200106</v>
      </c>
      <c r="B112">
        <v>62.9</v>
      </c>
    </row>
    <row r="113" spans="1:2" x14ac:dyDescent="0.25">
      <c r="A113">
        <v>200201</v>
      </c>
      <c r="B113">
        <v>62.8</v>
      </c>
    </row>
    <row r="114" spans="1:2" x14ac:dyDescent="0.25">
      <c r="A114">
        <v>200202</v>
      </c>
      <c r="B114">
        <v>33.4</v>
      </c>
    </row>
    <row r="115" spans="1:2" x14ac:dyDescent="0.25">
      <c r="A115">
        <v>200203</v>
      </c>
      <c r="B115">
        <v>179</v>
      </c>
    </row>
    <row r="116" spans="1:2" x14ac:dyDescent="0.25">
      <c r="A116">
        <v>200204</v>
      </c>
      <c r="B116">
        <v>123.8</v>
      </c>
    </row>
    <row r="117" spans="1:2" x14ac:dyDescent="0.25">
      <c r="A117">
        <v>200205</v>
      </c>
      <c r="B117">
        <v>161</v>
      </c>
    </row>
    <row r="118" spans="1:2" x14ac:dyDescent="0.25">
      <c r="A118">
        <v>200206</v>
      </c>
      <c r="B118">
        <v>59.9</v>
      </c>
    </row>
    <row r="119" spans="1:2" x14ac:dyDescent="0.25">
      <c r="A119">
        <v>200207</v>
      </c>
      <c r="B119">
        <v>144.4</v>
      </c>
    </row>
    <row r="120" spans="1:2" x14ac:dyDescent="0.25">
      <c r="A120">
        <v>200301</v>
      </c>
      <c r="B120">
        <v>50</v>
      </c>
    </row>
    <row r="121" spans="1:2" x14ac:dyDescent="0.25">
      <c r="A121">
        <v>200302</v>
      </c>
      <c r="B121">
        <v>34.9</v>
      </c>
    </row>
    <row r="122" spans="1:2" x14ac:dyDescent="0.25">
      <c r="A122">
        <v>200303</v>
      </c>
      <c r="B122">
        <v>16.3</v>
      </c>
    </row>
    <row r="123" spans="1:2" x14ac:dyDescent="0.25">
      <c r="A123">
        <v>200304</v>
      </c>
      <c r="B123">
        <v>71.400000000000006</v>
      </c>
    </row>
    <row r="124" spans="1:2" x14ac:dyDescent="0.25">
      <c r="A124">
        <v>200305</v>
      </c>
      <c r="B124">
        <v>38</v>
      </c>
    </row>
    <row r="125" spans="1:2" x14ac:dyDescent="0.25">
      <c r="A125">
        <v>200306</v>
      </c>
      <c r="B125">
        <v>81.8</v>
      </c>
    </row>
    <row r="126" spans="1:2" x14ac:dyDescent="0.25">
      <c r="A126">
        <v>200307</v>
      </c>
      <c r="B126">
        <v>202.7</v>
      </c>
    </row>
    <row r="127" spans="1:2" x14ac:dyDescent="0.25">
      <c r="A127">
        <v>200401</v>
      </c>
      <c r="B127">
        <v>72.8</v>
      </c>
    </row>
    <row r="128" spans="1:2" x14ac:dyDescent="0.25">
      <c r="A128">
        <v>200402</v>
      </c>
      <c r="B128">
        <v>70.900000000000006</v>
      </c>
    </row>
    <row r="129" spans="1:2" x14ac:dyDescent="0.25">
      <c r="A129">
        <v>200403</v>
      </c>
      <c r="B129">
        <v>131.80000000000001</v>
      </c>
    </row>
    <row r="130" spans="1:2" x14ac:dyDescent="0.25">
      <c r="A130">
        <v>200404</v>
      </c>
      <c r="B130">
        <v>29.3</v>
      </c>
    </row>
    <row r="131" spans="1:2" x14ac:dyDescent="0.25">
      <c r="A131">
        <v>200405</v>
      </c>
      <c r="B131">
        <v>326.89999999999998</v>
      </c>
    </row>
    <row r="132" spans="1:2" x14ac:dyDescent="0.25">
      <c r="A132">
        <v>200406</v>
      </c>
      <c r="B132">
        <v>46.9</v>
      </c>
    </row>
    <row r="133" spans="1:2" x14ac:dyDescent="0.25">
      <c r="A133">
        <v>200407</v>
      </c>
      <c r="B133">
        <v>253.5</v>
      </c>
    </row>
    <row r="134" spans="1:2" x14ac:dyDescent="0.25">
      <c r="A134">
        <v>200501</v>
      </c>
      <c r="B134">
        <v>163</v>
      </c>
    </row>
    <row r="135" spans="1:2" x14ac:dyDescent="0.25">
      <c r="A135">
        <v>200502</v>
      </c>
      <c r="B135">
        <v>81.099999999999994</v>
      </c>
    </row>
    <row r="136" spans="1:2" x14ac:dyDescent="0.25">
      <c r="A136">
        <v>200503</v>
      </c>
      <c r="B136">
        <v>12.4</v>
      </c>
    </row>
    <row r="137" spans="1:2" x14ac:dyDescent="0.25">
      <c r="A137">
        <v>200504</v>
      </c>
      <c r="B137">
        <v>94.1</v>
      </c>
    </row>
    <row r="138" spans="1:2" x14ac:dyDescent="0.25">
      <c r="A138">
        <v>200505</v>
      </c>
      <c r="B138">
        <v>85.3</v>
      </c>
    </row>
    <row r="139" spans="1:2" x14ac:dyDescent="0.25">
      <c r="A139">
        <v>200506</v>
      </c>
      <c r="B139">
        <v>186.4</v>
      </c>
    </row>
    <row r="140" spans="1:2" x14ac:dyDescent="0.25">
      <c r="A140">
        <v>200507</v>
      </c>
      <c r="B140">
        <v>174.5</v>
      </c>
    </row>
    <row r="141" spans="1:2" x14ac:dyDescent="0.25">
      <c r="A141">
        <v>200601</v>
      </c>
      <c r="B141">
        <v>104</v>
      </c>
    </row>
    <row r="142" spans="1:2" x14ac:dyDescent="0.25">
      <c r="A142">
        <v>200602</v>
      </c>
      <c r="B142">
        <v>65.2</v>
      </c>
    </row>
    <row r="143" spans="1:2" x14ac:dyDescent="0.25">
      <c r="A143">
        <v>200603</v>
      </c>
      <c r="B143">
        <v>77.099999999999994</v>
      </c>
    </row>
    <row r="144" spans="1:2" x14ac:dyDescent="0.25">
      <c r="A144">
        <v>200604</v>
      </c>
      <c r="B144">
        <v>39</v>
      </c>
    </row>
    <row r="145" spans="1:2" x14ac:dyDescent="0.25">
      <c r="A145">
        <v>200605</v>
      </c>
      <c r="B145">
        <v>104.3</v>
      </c>
    </row>
    <row r="146" spans="1:2" x14ac:dyDescent="0.25">
      <c r="A146">
        <v>200606</v>
      </c>
      <c r="B146">
        <v>218.9</v>
      </c>
    </row>
    <row r="147" spans="1:2" x14ac:dyDescent="0.25">
      <c r="A147">
        <v>200607</v>
      </c>
      <c r="B147">
        <v>145.19999999999999</v>
      </c>
    </row>
    <row r="148" spans="1:2" x14ac:dyDescent="0.25">
      <c r="A148">
        <v>200701</v>
      </c>
      <c r="B148">
        <v>33.5</v>
      </c>
    </row>
    <row r="149" spans="1:2" x14ac:dyDescent="0.25">
      <c r="A149">
        <v>200702</v>
      </c>
      <c r="B149">
        <v>28.4</v>
      </c>
    </row>
    <row r="150" spans="1:2" x14ac:dyDescent="0.25">
      <c r="A150">
        <v>200703</v>
      </c>
      <c r="B150">
        <v>79.099999999999994</v>
      </c>
    </row>
    <row r="151" spans="1:2" x14ac:dyDescent="0.25">
      <c r="A151">
        <v>200704</v>
      </c>
      <c r="B151">
        <v>31.1</v>
      </c>
    </row>
    <row r="152" spans="1:2" x14ac:dyDescent="0.25">
      <c r="A152">
        <v>200705</v>
      </c>
      <c r="B152">
        <v>40.799999999999997</v>
      </c>
    </row>
    <row r="153" spans="1:2" x14ac:dyDescent="0.25">
      <c r="A153">
        <v>200706</v>
      </c>
      <c r="B153">
        <v>75.3</v>
      </c>
    </row>
    <row r="154" spans="1:2" x14ac:dyDescent="0.25">
      <c r="A154">
        <v>200707</v>
      </c>
      <c r="B154">
        <v>111.5</v>
      </c>
    </row>
    <row r="155" spans="1:2" x14ac:dyDescent="0.25">
      <c r="A155">
        <v>200801</v>
      </c>
      <c r="B155">
        <v>46.8</v>
      </c>
    </row>
    <row r="156" spans="1:2" x14ac:dyDescent="0.25">
      <c r="A156">
        <v>200802</v>
      </c>
      <c r="B156">
        <v>58.1</v>
      </c>
    </row>
    <row r="157" spans="1:2" x14ac:dyDescent="0.25">
      <c r="A157">
        <v>200803</v>
      </c>
      <c r="B157">
        <v>78.5</v>
      </c>
    </row>
    <row r="158" spans="1:2" x14ac:dyDescent="0.25">
      <c r="A158">
        <v>200804</v>
      </c>
      <c r="B158">
        <v>108.2</v>
      </c>
    </row>
    <row r="159" spans="1:2" x14ac:dyDescent="0.25">
      <c r="A159">
        <v>200805</v>
      </c>
      <c r="B159">
        <v>72.400000000000006</v>
      </c>
    </row>
    <row r="160" spans="1:2" x14ac:dyDescent="0.25">
      <c r="A160">
        <v>200806</v>
      </c>
      <c r="B160">
        <v>121.1</v>
      </c>
    </row>
    <row r="161" spans="1:2" x14ac:dyDescent="0.25">
      <c r="A161">
        <v>200807</v>
      </c>
      <c r="B161">
        <v>96.7</v>
      </c>
    </row>
    <row r="162" spans="1:2" x14ac:dyDescent="0.25">
      <c r="A162">
        <v>200901</v>
      </c>
      <c r="B162">
        <v>54.5</v>
      </c>
    </row>
    <row r="163" spans="1:2" x14ac:dyDescent="0.25">
      <c r="A163">
        <v>200902</v>
      </c>
      <c r="B163">
        <v>57.9</v>
      </c>
    </row>
    <row r="164" spans="1:2" x14ac:dyDescent="0.25">
      <c r="A164">
        <v>200903</v>
      </c>
      <c r="B164">
        <v>10.9</v>
      </c>
    </row>
    <row r="165" spans="1:2" x14ac:dyDescent="0.25">
      <c r="A165">
        <v>200904</v>
      </c>
      <c r="B165">
        <v>128.4</v>
      </c>
    </row>
    <row r="166" spans="1:2" x14ac:dyDescent="0.25">
      <c r="A166">
        <v>200905</v>
      </c>
      <c r="B166">
        <v>194.1</v>
      </c>
    </row>
    <row r="167" spans="1:2" x14ac:dyDescent="0.25">
      <c r="A167">
        <v>200906</v>
      </c>
      <c r="B167">
        <v>111.1</v>
      </c>
    </row>
    <row r="168" spans="1:2" x14ac:dyDescent="0.25">
      <c r="A168">
        <v>200907</v>
      </c>
      <c r="B168">
        <v>119.9</v>
      </c>
    </row>
    <row r="169" spans="1:2" x14ac:dyDescent="0.25">
      <c r="A169">
        <v>201001</v>
      </c>
      <c r="B169">
        <v>101.6</v>
      </c>
    </row>
    <row r="170" spans="1:2" x14ac:dyDescent="0.25">
      <c r="A170">
        <v>201002</v>
      </c>
      <c r="B170">
        <v>2.2999999999999998</v>
      </c>
    </row>
    <row r="171" spans="1:2" x14ac:dyDescent="0.25">
      <c r="A171">
        <v>201003</v>
      </c>
      <c r="B171">
        <v>125.5</v>
      </c>
    </row>
    <row r="172" spans="1:2" x14ac:dyDescent="0.25">
      <c r="A172">
        <v>201004</v>
      </c>
      <c r="B172">
        <v>245.5</v>
      </c>
    </row>
    <row r="173" spans="1:2" x14ac:dyDescent="0.25">
      <c r="A173">
        <v>201005</v>
      </c>
      <c r="B173">
        <v>198.9</v>
      </c>
    </row>
    <row r="174" spans="1:2" x14ac:dyDescent="0.25">
      <c r="A174">
        <v>201006</v>
      </c>
      <c r="B174">
        <v>224.5</v>
      </c>
    </row>
    <row r="175" spans="1:2" x14ac:dyDescent="0.25">
      <c r="A175">
        <v>201007</v>
      </c>
      <c r="B175">
        <v>197.5</v>
      </c>
    </row>
    <row r="176" spans="1:2" x14ac:dyDescent="0.25">
      <c r="A176">
        <v>201101</v>
      </c>
      <c r="B176">
        <v>208</v>
      </c>
    </row>
    <row r="177" spans="1:2" x14ac:dyDescent="0.25">
      <c r="A177">
        <v>201102</v>
      </c>
    </row>
    <row r="178" spans="1:2" x14ac:dyDescent="0.25">
      <c r="A178">
        <v>201103</v>
      </c>
      <c r="B178">
        <v>137.5</v>
      </c>
    </row>
    <row r="179" spans="1:2" x14ac:dyDescent="0.25">
      <c r="A179">
        <v>201104</v>
      </c>
      <c r="B179">
        <v>154</v>
      </c>
    </row>
    <row r="180" spans="1:2" x14ac:dyDescent="0.25">
      <c r="A180">
        <v>201105</v>
      </c>
      <c r="B180">
        <v>297.5</v>
      </c>
    </row>
    <row r="181" spans="1:2" x14ac:dyDescent="0.25">
      <c r="A181">
        <v>201106</v>
      </c>
      <c r="B181">
        <v>130.5</v>
      </c>
    </row>
    <row r="182" spans="1:2" x14ac:dyDescent="0.25">
      <c r="A182">
        <v>201107</v>
      </c>
      <c r="B182">
        <v>341</v>
      </c>
    </row>
    <row r="183" spans="1:2" x14ac:dyDescent="0.25">
      <c r="A183">
        <v>201201</v>
      </c>
      <c r="B183">
        <v>52</v>
      </c>
    </row>
    <row r="184" spans="1:2" x14ac:dyDescent="0.25">
      <c r="A184">
        <v>201202</v>
      </c>
      <c r="B184">
        <v>28.5</v>
      </c>
    </row>
    <row r="185" spans="1:2" x14ac:dyDescent="0.25">
      <c r="A185">
        <v>201203</v>
      </c>
      <c r="B185">
        <v>49.5</v>
      </c>
    </row>
    <row r="186" spans="1:2" x14ac:dyDescent="0.25">
      <c r="A186">
        <v>201204</v>
      </c>
      <c r="B186">
        <v>266.5</v>
      </c>
    </row>
    <row r="187" spans="1:2" x14ac:dyDescent="0.25">
      <c r="A187">
        <v>201205</v>
      </c>
      <c r="B187">
        <v>108.5</v>
      </c>
    </row>
    <row r="188" spans="1:2" x14ac:dyDescent="0.25">
      <c r="A188">
        <v>201206</v>
      </c>
      <c r="B188">
        <v>26.5</v>
      </c>
    </row>
    <row r="189" spans="1:2" x14ac:dyDescent="0.25">
      <c r="A189">
        <v>201207</v>
      </c>
      <c r="B189">
        <v>235.5</v>
      </c>
    </row>
    <row r="190" spans="1:2" x14ac:dyDescent="0.25">
      <c r="A190">
        <v>201301</v>
      </c>
      <c r="B190">
        <v>66.5</v>
      </c>
    </row>
    <row r="191" spans="1:2" x14ac:dyDescent="0.25">
      <c r="A191">
        <v>201302</v>
      </c>
      <c r="B191">
        <v>54</v>
      </c>
    </row>
    <row r="192" spans="1:2" x14ac:dyDescent="0.25">
      <c r="A192">
        <v>201303</v>
      </c>
      <c r="B192">
        <v>73</v>
      </c>
    </row>
    <row r="193" spans="1:2" x14ac:dyDescent="0.25">
      <c r="A193">
        <v>201304</v>
      </c>
      <c r="B193">
        <v>257.5</v>
      </c>
    </row>
    <row r="194" spans="1:2" x14ac:dyDescent="0.25">
      <c r="A194">
        <v>201305</v>
      </c>
      <c r="B194">
        <v>231</v>
      </c>
    </row>
    <row r="195" spans="1:2" x14ac:dyDescent="0.25">
      <c r="A195">
        <v>201306</v>
      </c>
      <c r="B195">
        <v>157</v>
      </c>
    </row>
    <row r="196" spans="1:2" x14ac:dyDescent="0.25">
      <c r="A196">
        <v>201307</v>
      </c>
      <c r="B196">
        <v>159</v>
      </c>
    </row>
    <row r="197" spans="1:2" x14ac:dyDescent="0.25">
      <c r="A197">
        <v>201401</v>
      </c>
      <c r="B197">
        <v>62</v>
      </c>
    </row>
    <row r="198" spans="1:2" x14ac:dyDescent="0.25">
      <c r="A198">
        <v>201402</v>
      </c>
      <c r="B198">
        <v>34.5</v>
      </c>
    </row>
    <row r="199" spans="1:2" x14ac:dyDescent="0.25">
      <c r="A199">
        <v>201403</v>
      </c>
      <c r="B199">
        <v>29</v>
      </c>
    </row>
    <row r="200" spans="1:2" x14ac:dyDescent="0.25">
      <c r="A200">
        <v>201404</v>
      </c>
      <c r="B200">
        <v>124</v>
      </c>
    </row>
    <row r="201" spans="1:2" x14ac:dyDescent="0.25">
      <c r="A201">
        <v>201405</v>
      </c>
      <c r="B201">
        <v>62.5</v>
      </c>
    </row>
    <row r="202" spans="1:2" x14ac:dyDescent="0.25">
      <c r="A202">
        <v>201406</v>
      </c>
      <c r="B202">
        <v>91.5</v>
      </c>
    </row>
    <row r="203" spans="1:2" x14ac:dyDescent="0.25">
      <c r="A203">
        <v>201407</v>
      </c>
      <c r="B203">
        <v>64.5</v>
      </c>
    </row>
    <row r="204" spans="1:2" x14ac:dyDescent="0.25">
      <c r="A204">
        <v>201501</v>
      </c>
      <c r="B204">
        <v>52</v>
      </c>
    </row>
    <row r="205" spans="1:2" x14ac:dyDescent="0.25">
      <c r="A205">
        <v>201502</v>
      </c>
      <c r="B205">
        <v>46.5</v>
      </c>
    </row>
    <row r="206" spans="1:2" x14ac:dyDescent="0.25">
      <c r="A206">
        <v>201503</v>
      </c>
      <c r="B206">
        <v>44</v>
      </c>
    </row>
    <row r="207" spans="1:2" x14ac:dyDescent="0.25">
      <c r="A207">
        <v>201504</v>
      </c>
      <c r="B207">
        <v>73</v>
      </c>
    </row>
    <row r="208" spans="1:2" x14ac:dyDescent="0.25">
      <c r="A208">
        <v>201505</v>
      </c>
      <c r="B208">
        <v>12</v>
      </c>
    </row>
    <row r="209" spans="1:2" x14ac:dyDescent="0.25">
      <c r="A209">
        <v>201506</v>
      </c>
      <c r="B209">
        <v>62</v>
      </c>
    </row>
    <row r="210" spans="1:2" x14ac:dyDescent="0.25">
      <c r="A210">
        <v>201507</v>
      </c>
      <c r="B210">
        <v>78</v>
      </c>
    </row>
    <row r="211" spans="1:2" x14ac:dyDescent="0.25">
      <c r="A211">
        <v>201601</v>
      </c>
      <c r="B211">
        <v>45</v>
      </c>
    </row>
    <row r="212" spans="1:2" x14ac:dyDescent="0.25">
      <c r="A212">
        <v>201602</v>
      </c>
      <c r="B212">
        <v>38.5</v>
      </c>
    </row>
    <row r="213" spans="1:2" x14ac:dyDescent="0.25">
      <c r="A213">
        <v>201603</v>
      </c>
      <c r="B213">
        <v>113.5</v>
      </c>
    </row>
    <row r="214" spans="1:2" x14ac:dyDescent="0.25">
      <c r="A214">
        <v>201604</v>
      </c>
      <c r="B214">
        <v>108.5</v>
      </c>
    </row>
    <row r="215" spans="1:2" x14ac:dyDescent="0.25">
      <c r="A215">
        <v>201605</v>
      </c>
      <c r="B215">
        <v>96</v>
      </c>
    </row>
    <row r="216" spans="1:2" x14ac:dyDescent="0.25">
      <c r="A216">
        <v>201606</v>
      </c>
      <c r="B216">
        <v>142</v>
      </c>
    </row>
    <row r="217" spans="1:2" x14ac:dyDescent="0.25">
      <c r="A217">
        <v>201607</v>
      </c>
      <c r="B217">
        <v>128</v>
      </c>
    </row>
    <row r="218" spans="1:2" x14ac:dyDescent="0.25">
      <c r="A218">
        <v>201701</v>
      </c>
      <c r="B218">
        <v>40.5</v>
      </c>
    </row>
    <row r="219" spans="1:2" x14ac:dyDescent="0.25">
      <c r="A219">
        <v>201702</v>
      </c>
      <c r="B219">
        <v>36.5</v>
      </c>
    </row>
    <row r="220" spans="1:2" x14ac:dyDescent="0.25">
      <c r="A220">
        <v>201703</v>
      </c>
      <c r="B220">
        <v>81</v>
      </c>
    </row>
    <row r="221" spans="1:2" x14ac:dyDescent="0.25">
      <c r="A221">
        <v>201704</v>
      </c>
      <c r="B221">
        <v>138</v>
      </c>
    </row>
    <row r="222" spans="1:2" x14ac:dyDescent="0.25">
      <c r="A222">
        <v>201705</v>
      </c>
      <c r="B222">
        <v>185</v>
      </c>
    </row>
    <row r="223" spans="1:2" x14ac:dyDescent="0.25">
      <c r="A223">
        <v>201706</v>
      </c>
      <c r="B223">
        <v>175</v>
      </c>
    </row>
    <row r="224" spans="1:2" x14ac:dyDescent="0.25">
      <c r="A224">
        <v>201707</v>
      </c>
      <c r="B224">
        <v>103.5</v>
      </c>
    </row>
    <row r="225" spans="1:2" x14ac:dyDescent="0.25">
      <c r="A225">
        <v>201801</v>
      </c>
      <c r="B225">
        <v>114</v>
      </c>
    </row>
    <row r="226" spans="1:2" x14ac:dyDescent="0.25">
      <c r="A226">
        <v>201802</v>
      </c>
      <c r="B226">
        <v>70</v>
      </c>
    </row>
    <row r="227" spans="1:2" x14ac:dyDescent="0.25">
      <c r="A227">
        <v>201803</v>
      </c>
      <c r="B227">
        <v>113</v>
      </c>
    </row>
    <row r="228" spans="1:2" x14ac:dyDescent="0.25">
      <c r="A228">
        <v>201804</v>
      </c>
      <c r="B228">
        <v>55</v>
      </c>
    </row>
    <row r="229" spans="1:2" x14ac:dyDescent="0.25">
      <c r="A229">
        <v>201805</v>
      </c>
      <c r="B229">
        <v>190.5</v>
      </c>
    </row>
    <row r="230" spans="1:2" x14ac:dyDescent="0.25">
      <c r="A230">
        <v>201806</v>
      </c>
      <c r="B230">
        <v>62.5</v>
      </c>
    </row>
    <row r="231" spans="1:2" x14ac:dyDescent="0.25">
      <c r="A231">
        <v>201807</v>
      </c>
      <c r="B231">
        <v>257</v>
      </c>
    </row>
    <row r="232" spans="1:2" x14ac:dyDescent="0.25">
      <c r="A232">
        <v>201901</v>
      </c>
      <c r="B232">
        <v>79</v>
      </c>
    </row>
    <row r="233" spans="1:2" x14ac:dyDescent="0.25">
      <c r="A233">
        <v>201902</v>
      </c>
      <c r="B233">
        <v>54.5</v>
      </c>
    </row>
    <row r="234" spans="1:2" x14ac:dyDescent="0.25">
      <c r="A234">
        <v>201903</v>
      </c>
      <c r="B234">
        <v>31.5</v>
      </c>
    </row>
    <row r="235" spans="1:2" x14ac:dyDescent="0.25">
      <c r="A235">
        <v>201904</v>
      </c>
      <c r="B235">
        <v>66.5</v>
      </c>
    </row>
    <row r="236" spans="1:2" x14ac:dyDescent="0.25">
      <c r="A236">
        <v>201905</v>
      </c>
      <c r="B236">
        <v>96</v>
      </c>
    </row>
    <row r="237" spans="1:2" x14ac:dyDescent="0.25">
      <c r="A237">
        <v>201906</v>
      </c>
      <c r="B237">
        <v>130.5</v>
      </c>
    </row>
    <row r="238" spans="1:2" x14ac:dyDescent="0.25">
      <c r="A238">
        <v>201907</v>
      </c>
      <c r="B238">
        <v>187</v>
      </c>
    </row>
    <row r="239" spans="1:2" x14ac:dyDescent="0.25">
      <c r="A239">
        <v>202001</v>
      </c>
      <c r="B239">
        <v>89</v>
      </c>
    </row>
    <row r="240" spans="1:2" x14ac:dyDescent="0.25">
      <c r="A240">
        <v>202002</v>
      </c>
      <c r="B240">
        <v>0</v>
      </c>
    </row>
    <row r="241" spans="1:2" x14ac:dyDescent="0.25">
      <c r="A241">
        <v>202005</v>
      </c>
      <c r="B241">
        <v>5.5</v>
      </c>
    </row>
    <row r="242" spans="1:2" x14ac:dyDescent="0.25">
      <c r="A242">
        <v>202006</v>
      </c>
      <c r="B242">
        <v>103.5</v>
      </c>
    </row>
    <row r="243" spans="1:2" x14ac:dyDescent="0.25">
      <c r="A243">
        <v>202007</v>
      </c>
      <c r="B243">
        <v>150.5</v>
      </c>
    </row>
  </sheetData>
  <autoFilter ref="A1:A243" xr:uid="{FC8EF5E9-5AE6-4EFB-8156-CAC60E83508F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BE7732-7529-4D3F-AE0A-CC6221BAE080}">
  <dimension ref="A1:B8"/>
  <sheetViews>
    <sheetView workbookViewId="0">
      <pane ySplit="1" topLeftCell="A2" activePane="bottomLeft" state="frozen"/>
      <selection pane="bottomLeft" activeCell="H10" sqref="H10"/>
    </sheetView>
  </sheetViews>
  <sheetFormatPr baseColWidth="10" defaultRowHeight="15" x14ac:dyDescent="0.25"/>
  <sheetData>
    <row r="1" spans="1:2" s="5" customFormat="1" x14ac:dyDescent="0.25">
      <c r="A1" s="5" t="s">
        <v>9</v>
      </c>
      <c r="B1" s="5" t="s">
        <v>10</v>
      </c>
    </row>
    <row r="2" spans="1:2" x14ac:dyDescent="0.25">
      <c r="A2">
        <v>202601</v>
      </c>
      <c r="B2">
        <v>86.7</v>
      </c>
    </row>
    <row r="3" spans="1:2" x14ac:dyDescent="0.25">
      <c r="A3">
        <v>202602</v>
      </c>
      <c r="B3">
        <v>28.7</v>
      </c>
    </row>
    <row r="4" spans="1:2" x14ac:dyDescent="0.25">
      <c r="A4">
        <v>202603</v>
      </c>
      <c r="B4">
        <v>60.4</v>
      </c>
    </row>
    <row r="5" spans="1:2" x14ac:dyDescent="0.25">
      <c r="A5">
        <v>202604</v>
      </c>
      <c r="B5">
        <v>62.1</v>
      </c>
    </row>
    <row r="6" spans="1:2" x14ac:dyDescent="0.25">
      <c r="A6">
        <v>202605</v>
      </c>
      <c r="B6">
        <v>48.8</v>
      </c>
    </row>
    <row r="7" spans="1:2" x14ac:dyDescent="0.25">
      <c r="A7">
        <v>202606</v>
      </c>
      <c r="B7">
        <v>54.9</v>
      </c>
    </row>
    <row r="8" spans="1:2" x14ac:dyDescent="0.25">
      <c r="A8">
        <v>202607</v>
      </c>
      <c r="B8">
        <v>50.4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EBC51E-2096-40F1-BC84-47FEC2A0F883}">
  <dimension ref="A1"/>
  <sheetViews>
    <sheetView tabSelected="1" workbookViewId="0">
      <selection activeCell="A2" sqref="A2"/>
    </sheetView>
  </sheetViews>
  <sheetFormatPr baseColWidth="10" defaultRowHeight="15" x14ac:dyDescent="0.25"/>
  <sheetData>
    <row r="1" spans="1:1" x14ac:dyDescent="0.25">
      <c r="A1" s="1" t="s">
        <v>2</v>
      </c>
    </row>
  </sheetData>
  <hyperlinks>
    <hyperlink ref="A1" r:id="rId1" xr:uid="{7E79E165-7BD4-4D37-AA3A-C26D3807C574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4</vt:i4>
      </vt:variant>
    </vt:vector>
  </HeadingPairs>
  <TitlesOfParts>
    <vt:vector size="4" baseType="lpstr">
      <vt:lpstr>Analyse</vt:lpstr>
      <vt:lpstr>Guadeloupe 1986-2020 avant août</vt:lpstr>
      <vt:lpstr>Guadeloupe 2026</vt:lpstr>
      <vt:lpstr>Source des données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Robin Ehl</dc:creator>
  <cp:lastModifiedBy>Robin Ehl</cp:lastModifiedBy>
  <dcterms:created xsi:type="dcterms:W3CDTF">2015-06-05T18:19:34Z</dcterms:created>
  <dcterms:modified xsi:type="dcterms:W3CDTF">2026-07-30T07:01:31Z</dcterms:modified>
</cp:coreProperties>
</file>